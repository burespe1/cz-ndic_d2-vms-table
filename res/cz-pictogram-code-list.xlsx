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res\Downloads\vms\"/>
    </mc:Choice>
  </mc:AlternateContent>
  <xr:revisionPtr revIDLastSave="0" documentId="13_ncr:1_{A825EA5D-2BF4-4F10-BB07-22C9AFE5DC3D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Info_about" sheetId="1" r:id="rId1"/>
    <sheet name="cz-pictogram-code-list-v1.1" sheetId="2" r:id="rId2"/>
    <sheet name="cz-phrase-code-list-v1.0" sheetId="3" r:id="rId3"/>
    <sheet name="enumeration-values" sheetId="4" r:id="rId4"/>
    <sheet name="StaticInfoMapping-examples" sheetId="5" r:id="rId5"/>
    <sheet name="PIT_TextSymbolMapping" sheetId="6" r:id="rId6"/>
  </sheets>
  <definedNames>
    <definedName name="_xlnm._FilterDatabase" localSheetId="1" hidden="1">'cz-pictogram-code-list-v1.1'!$A$6:$AB$107</definedName>
    <definedName name="_mg4l8nmz14wf" localSheetId="0">Info_about!$B$8</definedName>
    <definedName name="_xlnm.Print_Area" localSheetId="1">'cz-pictogram-code-list-v1.1'!$1:$1048576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110" i="2" l="1"/>
  <c r="I109" i="2"/>
  <c r="I108" i="2"/>
  <c r="J11" i="5"/>
  <c r="J10" i="5"/>
  <c r="J9" i="5"/>
  <c r="J8" i="5"/>
  <c r="J7" i="5"/>
  <c r="W107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W93" i="2"/>
  <c r="I93" i="2"/>
  <c r="W92" i="2"/>
  <c r="I92" i="2"/>
  <c r="W91" i="2"/>
  <c r="I91" i="2"/>
  <c r="W90" i="2"/>
  <c r="I90" i="2"/>
  <c r="W89" i="2"/>
  <c r="I89" i="2"/>
  <c r="W88" i="2"/>
  <c r="I88" i="2"/>
  <c r="W87" i="2"/>
  <c r="I87" i="2"/>
  <c r="W86" i="2"/>
  <c r="I86" i="2"/>
  <c r="W85" i="2"/>
  <c r="I85" i="2"/>
  <c r="W84" i="2"/>
  <c r="I84" i="2"/>
  <c r="W83" i="2"/>
  <c r="I83" i="2"/>
  <c r="W82" i="2"/>
  <c r="I82" i="2"/>
  <c r="W81" i="2"/>
  <c r="I81" i="2"/>
  <c r="W80" i="2"/>
  <c r="I80" i="2"/>
  <c r="W79" i="2"/>
  <c r="I79" i="2"/>
  <c r="W78" i="2"/>
  <c r="I78" i="2"/>
  <c r="W77" i="2"/>
  <c r="I77" i="2"/>
  <c r="W76" i="2"/>
  <c r="I76" i="2"/>
  <c r="W75" i="2"/>
  <c r="I75" i="2"/>
  <c r="W74" i="2"/>
  <c r="I74" i="2"/>
  <c r="W73" i="2"/>
  <c r="I73" i="2"/>
  <c r="W72" i="2"/>
  <c r="I72" i="2"/>
  <c r="W71" i="2"/>
  <c r="I71" i="2"/>
  <c r="W70" i="2"/>
  <c r="I70" i="2"/>
  <c r="W69" i="2"/>
  <c r="I69" i="2"/>
  <c r="W68" i="2"/>
  <c r="I68" i="2"/>
  <c r="W67" i="2"/>
  <c r="I67" i="2"/>
  <c r="W66" i="2"/>
  <c r="I66" i="2"/>
  <c r="W65" i="2"/>
  <c r="I65" i="2"/>
  <c r="W64" i="2"/>
  <c r="I64" i="2"/>
  <c r="W63" i="2"/>
  <c r="I63" i="2"/>
  <c r="W62" i="2"/>
  <c r="I62" i="2"/>
  <c r="W61" i="2"/>
  <c r="I61" i="2"/>
  <c r="W60" i="2"/>
  <c r="I60" i="2"/>
  <c r="W59" i="2"/>
  <c r="I59" i="2"/>
  <c r="W58" i="2"/>
  <c r="I58" i="2"/>
  <c r="W57" i="2"/>
  <c r="I57" i="2"/>
  <c r="W56" i="2"/>
  <c r="I56" i="2"/>
  <c r="W55" i="2"/>
  <c r="I55" i="2"/>
  <c r="W54" i="2"/>
  <c r="I54" i="2"/>
  <c r="W53" i="2"/>
  <c r="I53" i="2"/>
  <c r="W52" i="2"/>
  <c r="I52" i="2"/>
  <c r="W51" i="2"/>
  <c r="I51" i="2"/>
  <c r="W50" i="2"/>
  <c r="I50" i="2"/>
  <c r="W49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" authorId="0" shapeId="0" xr:uid="{00000000-0006-0000-0100-000002000000}">
      <text>
        <r>
          <rPr>
            <sz val="10"/>
            <rFont val="Arial"/>
            <family val="2"/>
            <charset val="238"/>
          </rPr>
          <t>0..n</t>
        </r>
      </text>
    </comment>
    <comment ref="B71" authorId="0" shapeId="0" xr:uid="{00000000-0006-0000-0100-000001000000}">
      <text>
        <r>
          <rPr>
            <sz val="11"/>
            <color rgb="FF000000"/>
            <rFont val="Calibri"/>
            <family val="2"/>
            <charset val="1"/>
          </rPr>
          <t>E4a není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300-000001000000}">
      <text>
        <r>
          <rPr>
            <sz val="10"/>
            <rFont val="Arial"/>
            <family val="2"/>
            <charset val="238"/>
          </rPr>
          <t>New in 2022 edition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<sst xmlns="http://schemas.openxmlformats.org/spreadsheetml/2006/main" count="1721" uniqueCount="554">
  <si>
    <t>field</t>
  </si>
  <si>
    <t>customPictogramCode</t>
  </si>
  <si>
    <t>Czech description</t>
  </si>
  <si>
    <t>English description</t>
  </si>
  <si>
    <t>img</t>
  </si>
  <si>
    <t>vmsMessage</t>
  </si>
  <si>
    <t>note</t>
  </si>
  <si>
    <t>same as</t>
  </si>
  <si>
    <t>GDD 2022</t>
  </si>
  <si>
    <t>messageInformationType</t>
  </si>
  <si>
    <t>PictogramDisplay</t>
  </si>
  <si>
    <t>isBlank</t>
  </si>
  <si>
    <t>legallyBinding</t>
  </si>
  <si>
    <t>RegularPictogram</t>
  </si>
  <si>
    <t>CompositePictogram</t>
  </si>
  <si>
    <t>SupplementaryPictogram</t>
  </si>
  <si>
    <t>pictogramInInverseColour</t>
  </si>
  <si>
    <t>pictogramInformationType</t>
  </si>
  <si>
    <t>GddStructure (2017)</t>
  </si>
  <si>
    <t>pictogramDescription</t>
  </si>
  <si>
    <t>presenceOfRedTriangle</t>
  </si>
  <si>
    <t>displayedNumericalInformation</t>
  </si>
  <si>
    <t>DisplayedNumericalInformation (2)</t>
  </si>
  <si>
    <t>pictogramCode</t>
  </si>
  <si>
    <t>serviceCategory</t>
  </si>
  <si>
    <t>pictogramCategoryCode</t>
  </si>
  <si>
    <t>numericalInformationType</t>
  </si>
  <si>
    <t>numericValue</t>
  </si>
  <si>
    <t>unitOfMeasure</t>
  </si>
  <si>
    <t>n</t>
  </si>
  <si>
    <t>string</t>
  </si>
  <si>
    <t>x</t>
  </si>
  <si>
    <t>messageInformationTypeEnum</t>
  </si>
  <si>
    <t>bool</t>
  </si>
  <si>
    <t>InformationTypeEnum</t>
  </si>
  <si>
    <t>GddServiceCategoryEnum</t>
  </si>
  <si>
    <t>decimal (3digits)</t>
  </si>
  <si>
    <t>PictogramEnum</t>
  </si>
  <si>
    <t>DisplayedNumericalInformationTypeEnum</t>
  </si>
  <si>
    <t>Decimal</t>
  </si>
  <si>
    <t>UnitOfMeasureEnum</t>
  </si>
  <si>
    <t>CompositePictogramEnum</t>
  </si>
  <si>
    <t>SupplementalPictogramEnum</t>
  </si>
  <si>
    <t>A12a</t>
  </si>
  <si>
    <t>Chodci</t>
  </si>
  <si>
    <t>situationWarning</t>
  </si>
  <si>
    <t>false</t>
  </si>
  <si>
    <t>true</t>
  </si>
  <si>
    <t>warning</t>
  </si>
  <si>
    <t>dangerWarning</t>
  </si>
  <si>
    <t>A13</t>
  </si>
  <si>
    <t>Zvířata</t>
  </si>
  <si>
    <t>A13_p</t>
  </si>
  <si>
    <t>A14</t>
  </si>
  <si>
    <t>zvěř</t>
  </si>
  <si>
    <t>A15</t>
  </si>
  <si>
    <t>Práce na silnici</t>
  </si>
  <si>
    <t>A15_p</t>
  </si>
  <si>
    <t>A16</t>
  </si>
  <si>
    <t>Boční vítr</t>
  </si>
  <si>
    <t>ambientConditions</t>
  </si>
  <si>
    <t>A16_p</t>
  </si>
  <si>
    <t>A22</t>
  </si>
  <si>
    <t>Jiné nebezpečí</t>
  </si>
  <si>
    <t>A22_p</t>
  </si>
  <si>
    <t>A22_vp</t>
  </si>
  <si>
    <t>Pozor vozidlo v protisměru</t>
  </si>
  <si>
    <t>A23</t>
  </si>
  <si>
    <t>kolona</t>
  </si>
  <si>
    <t>roadConditions</t>
  </si>
  <si>
    <t>A23_p</t>
  </si>
  <si>
    <t>A24</t>
  </si>
  <si>
    <t>náledí</t>
  </si>
  <si>
    <t>A24_p</t>
  </si>
  <si>
    <t>A26</t>
  </si>
  <si>
    <t>mlha</t>
  </si>
  <si>
    <t>A26_p</t>
  </si>
  <si>
    <t>A27</t>
  </si>
  <si>
    <t>nehoda</t>
  </si>
  <si>
    <t>A27_p</t>
  </si>
  <si>
    <t>A28</t>
  </si>
  <si>
    <t>Nebezpečná krajnice</t>
  </si>
  <si>
    <t>A6a</t>
  </si>
  <si>
    <t>Zúžená vozovka z obou stran</t>
  </si>
  <si>
    <t>A6b_l</t>
  </si>
  <si>
    <t>Zúžená vozovka z levé strany</t>
  </si>
  <si>
    <t>A6b_p</t>
  </si>
  <si>
    <t>Zúžená vozovka z pravé strany</t>
  </si>
  <si>
    <t>A7a</t>
  </si>
  <si>
    <t>Nerovnost vozovky</t>
  </si>
  <si>
    <t>A8</t>
  </si>
  <si>
    <t>Nebezpečí smyku</t>
  </si>
  <si>
    <t>216,220,233</t>
  </si>
  <si>
    <t>A8_p</t>
  </si>
  <si>
    <t>A9</t>
  </si>
  <si>
    <t>Provoz v obou směrech</t>
  </si>
  <si>
    <t>B1</t>
  </si>
  <si>
    <t>Zákaz vjezdu všech vozidel v obou směrech</t>
  </si>
  <si>
    <t>trafficManagement</t>
  </si>
  <si>
    <t>prohibition</t>
  </si>
  <si>
    <t>regulatory</t>
  </si>
  <si>
    <t>xx</t>
  </si>
  <si>
    <t>B13_6t</t>
  </si>
  <si>
    <t>Zákaz vjezdu vozidel, jejichž okamžitá hmotnost přesahuje 6</t>
  </si>
  <si>
    <t>weight</t>
  </si>
  <si>
    <t>tonnes</t>
  </si>
  <si>
    <t>B13_12t</t>
  </si>
  <si>
    <t>Zákaz vjezdu vozidel, jejichž okamžitá hmotnost přesahuje 12t</t>
  </si>
  <si>
    <t>B19</t>
  </si>
  <si>
    <t>Zákaz vjezdu vozidel přepravujících náklad, který může způsobit ohrožení životního prostředí</t>
  </si>
  <si>
    <t>B20a_100</t>
  </si>
  <si>
    <t>Nejvyšší dovolená rychlost</t>
  </si>
  <si>
    <t>speed</t>
  </si>
  <si>
    <t>kilometresPerHour</t>
  </si>
  <si>
    <t>B20a_120</t>
  </si>
  <si>
    <t>B20a_60</t>
  </si>
  <si>
    <t>B20a_80</t>
  </si>
  <si>
    <t>B22a</t>
  </si>
  <si>
    <t>Zákaz předjíždění pro nákladní automobily</t>
  </si>
  <si>
    <t>B26</t>
  </si>
  <si>
    <t>Konec všech zákazů</t>
  </si>
  <si>
    <t>other</t>
  </si>
  <si>
    <t>B3</t>
  </si>
  <si>
    <t xml:space="preserve">Zákaz vjezdu všech motorových vozidel </t>
  </si>
  <si>
    <t>B33</t>
  </si>
  <si>
    <t>Zákaz vjezdu motorových vozidel s přípojným vozidlem</t>
  </si>
  <si>
    <t>B4</t>
  </si>
  <si>
    <t>Zákaz vjezdu nákladních automobilů</t>
  </si>
  <si>
    <t>16,147,243</t>
  </si>
  <si>
    <t>B4_12t</t>
  </si>
  <si>
    <r>
      <rPr>
        <sz val="10"/>
        <color rgb="FF000000"/>
        <rFont val="Arial"/>
        <family val="2"/>
        <charset val="1"/>
      </rPr>
      <t xml:space="preserve">Zákaz vjezdu nákladních automobilů </t>
    </r>
    <r>
      <rPr>
        <sz val="10"/>
        <color rgb="FF000000"/>
        <rFont val="Arial"/>
        <family val="2"/>
        <charset val="238"/>
      </rPr>
      <t>jejichž okamžitá hmotnost přesahuje 12t</t>
    </r>
  </si>
  <si>
    <t>blank</t>
  </si>
  <si>
    <t>prázdný symbol</t>
  </si>
  <si>
    <t>informative</t>
  </si>
  <si>
    <t>blankVoid</t>
  </si>
  <si>
    <t>0,14,15,48,49</t>
  </si>
  <si>
    <t>E13</t>
  </si>
  <si>
    <t>Text: mimo dopravní obsluhu</t>
  </si>
  <si>
    <t>instructionOrMessage</t>
  </si>
  <si>
    <t>supplemetaryPanel</t>
  </si>
  <si>
    <t>Text: mimo zásobování</t>
  </si>
  <si>
    <t>E3a_500</t>
  </si>
  <si>
    <t>vzdálenost k místu 500m</t>
  </si>
  <si>
    <t>distance</t>
  </si>
  <si>
    <t>metres</t>
  </si>
  <si>
    <t>distanceToTheBeginningOfTheApplicationZone</t>
  </si>
  <si>
    <t>columnns C-Q used only if supplementary panel is used as separate pictogram</t>
  </si>
  <si>
    <t>101-120</t>
  </si>
  <si>
    <t>E3a_1000</t>
  </si>
  <si>
    <t>vzdálenost k místu 1000m</t>
  </si>
  <si>
    <t>E3a_1500</t>
  </si>
  <si>
    <t>vzdálenost k místu 1500m</t>
  </si>
  <si>
    <t>E3a_2000</t>
  </si>
  <si>
    <t>vzdálenost k místu 2000m</t>
  </si>
  <si>
    <t>E3a_2500</t>
  </si>
  <si>
    <t>vzdálenost k místu 2500m</t>
  </si>
  <si>
    <t>E3a_3000</t>
  </si>
  <si>
    <t>vzdálenost k místu 3000m</t>
  </si>
  <si>
    <t>E3a_3500</t>
  </si>
  <si>
    <t>vzdálenost k místu 3500m</t>
  </si>
  <si>
    <t>E3a_4000</t>
  </si>
  <si>
    <t>vzdálenost k místu 4000m</t>
  </si>
  <si>
    <t>E3a_4500</t>
  </si>
  <si>
    <t>vzdálenost k místu 4500m</t>
  </si>
  <si>
    <t>E3a_5000</t>
  </si>
  <si>
    <t>vzdálenost k místu 5000m</t>
  </si>
  <si>
    <t>E3a_5500</t>
  </si>
  <si>
    <t>vzdálenost k místu 5500m</t>
  </si>
  <si>
    <t>E3a_6000</t>
  </si>
  <si>
    <t>vzdálenost k místu 6000m</t>
  </si>
  <si>
    <t>E3a_6500</t>
  </si>
  <si>
    <t>vzdálenost k místu 6500m</t>
  </si>
  <si>
    <t>E3a_7000</t>
  </si>
  <si>
    <t>vzdálenost k místu 7000m</t>
  </si>
  <si>
    <t>E3a_7500</t>
  </si>
  <si>
    <t>vzdálenost k místu 7500m</t>
  </si>
  <si>
    <t>E3a_8000</t>
  </si>
  <si>
    <t>E3a_8500</t>
  </si>
  <si>
    <t>vzdálenost k místu 8500m</t>
  </si>
  <si>
    <t>E3a_9000</t>
  </si>
  <si>
    <t>vzdálenost k místu 9000m</t>
  </si>
  <si>
    <t>E3a_9500</t>
  </si>
  <si>
    <t>vzdálenost k místu 9500m</t>
  </si>
  <si>
    <t>E3a_10000</t>
  </si>
  <si>
    <t>vzdálenost k místu 10000m</t>
  </si>
  <si>
    <t>E4_500</t>
  </si>
  <si>
    <t>Délka úseku 500m</t>
  </si>
  <si>
    <t>sectionLength</t>
  </si>
  <si>
    <t>lengthOfTheApplicationZone</t>
  </si>
  <si>
    <t>121-140</t>
  </si>
  <si>
    <t>E4_1000</t>
  </si>
  <si>
    <t>Délka úseku 1000m</t>
  </si>
  <si>
    <t>E4_1500</t>
  </si>
  <si>
    <t>Délka úseku 1500m</t>
  </si>
  <si>
    <t>E4_2000</t>
  </si>
  <si>
    <t>Délka úseku 2000m</t>
  </si>
  <si>
    <t>E4_2500</t>
  </si>
  <si>
    <t>Délka úseku 2500m</t>
  </si>
  <si>
    <t>E4_3000</t>
  </si>
  <si>
    <t>Délka úseku 3000m</t>
  </si>
  <si>
    <t>E4_3500</t>
  </si>
  <si>
    <t>Délka úseku 3500m</t>
  </si>
  <si>
    <t>E4_4000</t>
  </si>
  <si>
    <t>Délka úseku 4000m</t>
  </si>
  <si>
    <t>E4_4500</t>
  </si>
  <si>
    <t>Délka úseku 4500m</t>
  </si>
  <si>
    <t>E4_5000</t>
  </si>
  <si>
    <t>Délka úseku 5000m</t>
  </si>
  <si>
    <t>E4_5500</t>
  </si>
  <si>
    <t>Délka úseku 5500m</t>
  </si>
  <si>
    <t>E4_6000</t>
  </si>
  <si>
    <t>Délka úseku 6000m</t>
  </si>
  <si>
    <t>E4_6500</t>
  </si>
  <si>
    <t>Délka úseku 6500m</t>
  </si>
  <si>
    <t>E4_7000</t>
  </si>
  <si>
    <t>Délka úseku 7000m</t>
  </si>
  <si>
    <t>E4_7500</t>
  </si>
  <si>
    <t>Délka úseku 7500m</t>
  </si>
  <si>
    <t>E4_8000</t>
  </si>
  <si>
    <t>E4_8500</t>
  </si>
  <si>
    <t>Délka úseku 8500m</t>
  </si>
  <si>
    <t>E4_9000</t>
  </si>
  <si>
    <t>Délka úseku 9000m</t>
  </si>
  <si>
    <t>E4_9500</t>
  </si>
  <si>
    <t>Délka úseku 9500m</t>
  </si>
  <si>
    <t>E4_10000</t>
  </si>
  <si>
    <t>Délka úseku 10000m</t>
  </si>
  <si>
    <t>E5_12000</t>
  </si>
  <si>
    <t>Největší povolená hmotnost 12t</t>
  </si>
  <si>
    <t>150,151,152,153,154</t>
  </si>
  <si>
    <t>e7b_L</t>
  </si>
  <si>
    <t>Směrová šipka pro odbočení vlevo</t>
  </si>
  <si>
    <t>no GDD or DII code exists</t>
  </si>
  <si>
    <t>e7b_P</t>
  </si>
  <si>
    <t>Směrová šipka pro odbočení vpravo</t>
  </si>
  <si>
    <t>G24</t>
  </si>
  <si>
    <t>Zákaz vj., výj. mo.</t>
  </si>
  <si>
    <t>restrictionOnCurrentSectionAfterNextExit</t>
  </si>
  <si>
    <t>G25</t>
  </si>
  <si>
    <t>Výjezd uzavřen</t>
  </si>
  <si>
    <t>restrictionAtNextExit</t>
  </si>
  <si>
    <t>G26a</t>
  </si>
  <si>
    <t>Druhý výjezd uzavřen</t>
  </si>
  <si>
    <t>restrictionAtSecondtExit</t>
  </si>
  <si>
    <t>G26b</t>
  </si>
  <si>
    <t>První výjezd uzavřen</t>
  </si>
  <si>
    <t>S8a</t>
  </si>
  <si>
    <t>Zakázaný vjezd vozidel do jízdního pruhu</t>
  </si>
  <si>
    <t>obligation</t>
  </si>
  <si>
    <t>in informative category!</t>
  </si>
  <si>
    <t>S8b</t>
  </si>
  <si>
    <t>Volný vjezd vozidel do jízdního pruhu</t>
  </si>
  <si>
    <t>S8c</t>
  </si>
  <si>
    <t>Světelná šipka vlevo</t>
  </si>
  <si>
    <t>S8d</t>
  </si>
  <si>
    <t>Světelná šipka vpravo</t>
  </si>
  <si>
    <t>X1</t>
  </si>
  <si>
    <t>Kolona na výjezdu</t>
  </si>
  <si>
    <t>conditionAtNextExit</t>
  </si>
  <si>
    <t>X2</t>
  </si>
  <si>
    <t>Kolona, výjezd možný</t>
  </si>
  <si>
    <t>conditionOnCurrentSectionAfterNextExit</t>
  </si>
  <si>
    <t>X3</t>
  </si>
  <si>
    <t>vytvořit průjezd pro vozidlo IZS</t>
  </si>
  <si>
    <t>corridorForEmergencyVehicleAccess</t>
  </si>
  <si>
    <t>X5</t>
  </si>
  <si>
    <t>zúžení JP, provoz po zpevněné krajnici</t>
  </si>
  <si>
    <t>narrowLanesAhead</t>
  </si>
  <si>
    <t>width</t>
  </si>
  <si>
    <t>No GDD code exists, described as standard sign, (possibly information 658)</t>
  </si>
  <si>
    <t>ZPI2</t>
  </si>
  <si>
    <t>aktuální informace o tom, zda jsou na parkovišti volná parkovací místa</t>
  </si>
  <si>
    <t>generalInformation</t>
  </si>
  <si>
    <t>carParkSpacesAvailable</t>
  </si>
  <si>
    <t>{distance}</t>
  </si>
  <si>
    <t>E9_hv</t>
  </si>
  <si>
    <t xml:space="preserve">Omezuje platnost značky, pod kterou je umístěna, na vyznačený druh vozidla. </t>
  </si>
  <si>
    <t>vehicleType</t>
  </si>
  <si>
    <t>restrictedToGoodsVehicles</t>
  </si>
  <si>
    <t>WorkingStatusEnum</t>
  </si>
  <si>
    <t>DedicatedUsageEnum</t>
  </si>
  <si>
    <t>PhysicalSupportEnum</t>
  </si>
  <si>
    <t>VmsTypeEnum</t>
  </si>
  <si>
    <t>RelativePositionOnCarriagewayEnum</t>
  </si>
  <si>
    <t>CarriagewayEnum</t>
  </si>
  <si>
    <t>LaneEnum</t>
  </si>
  <si>
    <t>LinearDirectionEnum</t>
  </si>
  <si>
    <t>VmsFaultEnum</t>
  </si>
  <si>
    <t>campaignMessage</t>
  </si>
  <si>
    <t>energyInformation</t>
  </si>
  <si>
    <t>feet</t>
  </si>
  <si>
    <t>centralReservationMounted</t>
  </si>
  <si>
    <t>colourGraphic</t>
  </si>
  <si>
    <t>inTheCentre</t>
  </si>
  <si>
    <t>connectingCarriageway</t>
  </si>
  <si>
    <t>allLanesCompleteCarriageway</t>
  </si>
  <si>
    <t>both</t>
  </si>
  <si>
    <t>incorrectMessageDisplayed</t>
  </si>
  <si>
    <t>covered</t>
  </si>
  <si>
    <t>dateTime</t>
  </si>
  <si>
    <t>inspectionArea</t>
  </si>
  <si>
    <t>delay</t>
  </si>
  <si>
    <t>bridgeClosed</t>
  </si>
  <si>
    <t>height</t>
  </si>
  <si>
    <t>feetAndInches</t>
  </si>
  <si>
    <t>conditionAtSecondExit</t>
  </si>
  <si>
    <t>exceptAnyPowerDrivenVehicleDrawingTrailer</t>
  </si>
  <si>
    <t>gantryMounted</t>
  </si>
  <si>
    <t>fullMatrixSign</t>
  </si>
  <si>
    <t>onTheLeft</t>
  </si>
  <si>
    <t>cycleTrack</t>
  </si>
  <si>
    <t>busLane</t>
  </si>
  <si>
    <t>opposite</t>
  </si>
  <si>
    <t>incorrectPictogramDisplayed</t>
  </si>
  <si>
    <t>notWorking</t>
  </si>
  <si>
    <t>futureInformation</t>
  </si>
  <si>
    <t>laneControlSystem</t>
  </si>
  <si>
    <t>destination</t>
  </si>
  <si>
    <t>carParkFull</t>
  </si>
  <si>
    <t>length</t>
  </si>
  <si>
    <t>kilometres</t>
  </si>
  <si>
    <t>exceptBus</t>
  </si>
  <si>
    <t>overheadBridgeMounted</t>
  </si>
  <si>
    <t>monochromeGraphic</t>
  </si>
  <si>
    <t>onTheRight</t>
  </si>
  <si>
    <t>entrySlipRoad</t>
  </si>
  <si>
    <t>busStop</t>
  </si>
  <si>
    <t>aligned</t>
  </si>
  <si>
    <t>working</t>
  </si>
  <si>
    <t>publicFacilities</t>
  </si>
  <si>
    <t>rateOfIncline</t>
  </si>
  <si>
    <t>conditionOnCurrentSectionAfterSecondtExit</t>
  </si>
  <si>
    <t>exceptGoodsVehicles</t>
  </si>
  <si>
    <t>roadsideCantileverMounted</t>
  </si>
  <si>
    <t>exitSlipRoad</t>
  </si>
  <si>
    <t>carPoolLane</t>
  </si>
  <si>
    <t>unknown</t>
  </si>
  <si>
    <t>outOfService</t>
  </si>
  <si>
    <t>parkingInformation</t>
  </si>
  <si>
    <t>location</t>
  </si>
  <si>
    <t>exceptSemitrailer</t>
  </si>
  <si>
    <t>roadsideMounted</t>
  </si>
  <si>
    <t>rollerBlindSign</t>
  </si>
  <si>
    <t>flyover</t>
  </si>
  <si>
    <t>centralReservation</t>
  </si>
  <si>
    <t>unableToClearDown</t>
  </si>
  <si>
    <t>temperature</t>
  </si>
  <si>
    <t>rampMetering</t>
  </si>
  <si>
    <t>curveArrowToLeft</t>
  </si>
  <si>
    <t>miles</t>
  </si>
  <si>
    <t>exceptVehiclesCarryingDangerousGoods</t>
  </si>
  <si>
    <t>trailerMounted</t>
  </si>
  <si>
    <t>rotatingPrismSign</t>
  </si>
  <si>
    <t>footpath</t>
  </si>
  <si>
    <t>crawlerLane</t>
  </si>
  <si>
    <t>tunnelManagement</t>
  </si>
  <si>
    <t>curveArrowToRight</t>
  </si>
  <si>
    <t>milesPerHour</t>
  </si>
  <si>
    <t>inCaseOfIceOrSnow</t>
  </si>
  <si>
    <t>tunnelEntranceMounted</t>
  </si>
  <si>
    <t>simpleMatrixSign</t>
  </si>
  <si>
    <t>leftHandFeederRoad</t>
  </si>
  <si>
    <t>cycleLane</t>
  </si>
  <si>
    <t>travelTime</t>
  </si>
  <si>
    <t>dangerOfFire</t>
  </si>
  <si>
    <t>weightPerAxle</t>
  </si>
  <si>
    <t>percentage</t>
  </si>
  <si>
    <t>restrictionOnCurrentSectionAfterSecondExit</t>
  </si>
  <si>
    <t>vehicleMounted</t>
  </si>
  <si>
    <t>virtualVms</t>
  </si>
  <si>
    <t>leftHandParallelCarriageway</t>
  </si>
  <si>
    <t>emergencyLane</t>
  </si>
  <si>
    <t>situationInformation</t>
  </si>
  <si>
    <t>doubleExitToLeft</t>
  </si>
  <si>
    <t>maintenanceVehicles</t>
  </si>
  <si>
    <t>mainCarriageway</t>
  </si>
  <si>
    <t>escapeLane</t>
  </si>
  <si>
    <t>doubleExitToRight</t>
  </si>
  <si>
    <t>yards</t>
  </si>
  <si>
    <t>oppositeCarriageway</t>
  </si>
  <si>
    <t>expressLane</t>
  </si>
  <si>
    <t>endOfAdvisorySpeed</t>
  </si>
  <si>
    <t>restrictedToAnyPowerDrivenVehicleDrawingTrailer</t>
  </si>
  <si>
    <t>parallelCarriageway</t>
  </si>
  <si>
    <t>hardShoulder</t>
  </si>
  <si>
    <t>fastenChildrensSeatBelts</t>
  </si>
  <si>
    <t>restrictedToBus</t>
  </si>
  <si>
    <t>rightHandFeederRoad</t>
  </si>
  <si>
    <t>heavyVehicleLane</t>
  </si>
  <si>
    <t>fastenYourSeatBelt</t>
  </si>
  <si>
    <t>rightHandParallelCarriageway</t>
  </si>
  <si>
    <t>layBy</t>
  </si>
  <si>
    <t>fire</t>
  </si>
  <si>
    <t>restrictedToSemiTrailer</t>
  </si>
  <si>
    <t>roundabout</t>
  </si>
  <si>
    <t>leftHandTurningLane</t>
  </si>
  <si>
    <t>footballMatch</t>
  </si>
  <si>
    <t>restrictedToVehiclesCarryingDangerousGoods</t>
  </si>
  <si>
    <t>serviceRoad</t>
  </si>
  <si>
    <t>leftLane</t>
  </si>
  <si>
    <t>hardShoulderNotRunning</t>
  </si>
  <si>
    <t>snowPloughs</t>
  </si>
  <si>
    <t>slipRoads</t>
  </si>
  <si>
    <t>localTrafficLane</t>
  </si>
  <si>
    <t>hardShoulderRunning</t>
  </si>
  <si>
    <t>underpass</t>
  </si>
  <si>
    <t>middleLane</t>
  </si>
  <si>
    <t>horizontalDiversionToLeft</t>
  </si>
  <si>
    <t>unspecifiedCarriageway</t>
  </si>
  <si>
    <t>overtakingLane</t>
  </si>
  <si>
    <t>horizontalDiversionToRight</t>
  </si>
  <si>
    <t>rightHandTurningLane</t>
  </si>
  <si>
    <t>keepASafeDistance</t>
  </si>
  <si>
    <t>rightLane</t>
  </si>
  <si>
    <t>keepLeft</t>
  </si>
  <si>
    <t>rushHourLane</t>
  </si>
  <si>
    <t>keepRight</t>
  </si>
  <si>
    <t>setDownArea</t>
  </si>
  <si>
    <t>lane1ClosedOf2</t>
  </si>
  <si>
    <t>slowVehicleLane</t>
  </si>
  <si>
    <t>lane1ClosedOf3</t>
  </si>
  <si>
    <t>throughTrafficLane</t>
  </si>
  <si>
    <t>lane1ClosedOf4</t>
  </si>
  <si>
    <t>tidalFlowLane</t>
  </si>
  <si>
    <t>lane2ClosedOf2</t>
  </si>
  <si>
    <t>turningLane</t>
  </si>
  <si>
    <t>lane3ClosedOf3</t>
  </si>
  <si>
    <t>verge</t>
  </si>
  <si>
    <t>lane4ClosedOf4</t>
  </si>
  <si>
    <t>lanes1And2And3ClosedOf4</t>
  </si>
  <si>
    <t>lanes1And2ClosedOf3</t>
  </si>
  <si>
    <t>lanes1And2ClosedOf4</t>
  </si>
  <si>
    <t>lanes2And3And4ClosedOf4</t>
  </si>
  <si>
    <t>lanes2And3ClosedOf3</t>
  </si>
  <si>
    <t>lanes3And4ClosedOf4</t>
  </si>
  <si>
    <t>leftHandLaneClosed</t>
  </si>
  <si>
    <t>obliqueArrowToLeft</t>
  </si>
  <si>
    <t>obliqueArrowToRight</t>
  </si>
  <si>
    <t>pollutionOrSmogAlert</t>
  </si>
  <si>
    <t>rightHandLaneClosed</t>
  </si>
  <si>
    <t>singleExitToLeft</t>
  </si>
  <si>
    <t>singleExitToRight</t>
  </si>
  <si>
    <t>smoke</t>
  </si>
  <si>
    <t>snowPloughInAction</t>
  </si>
  <si>
    <t>speedCamerasInAction</t>
  </si>
  <si>
    <t>straightVerticalArrow</t>
  </si>
  <si>
    <t>trafficDeviatedToOppositeCarriagewayAhead</t>
  </si>
  <si>
    <t>trafficPartiallyDeviatedToOppositeCarriagewayAhead</t>
  </si>
  <si>
    <t>tunnelClosed</t>
  </si>
  <si>
    <t>verticalDiversion</t>
  </si>
  <si>
    <t>vmsTypeCode</t>
  </si>
  <si>
    <t>description</t>
  </si>
  <si>
    <t>vmsControllerTable</t>
  </si>
  <si>
    <t>numberOfVms</t>
  </si>
  <si>
    <t>vms</t>
  </si>
  <si>
    <t>lanternsPresent</t>
  </si>
  <si>
    <t>physicalSupport</t>
  </si>
  <si>
    <t>vmsType</t>
  </si>
  <si>
    <t>dynamicallyConfigurable</t>
  </si>
  <si>
    <t>heightAboveCarriageway</t>
  </si>
  <si>
    <t>dedicatedUsage</t>
  </si>
  <si>
    <t>vmsConfiguration</t>
  </si>
  <si>
    <t>VmsLocation:PointLocation</t>
  </si>
  <si>
    <t>imageLink</t>
  </si>
  <si>
    <t>numberOfDisplayAreas</t>
  </si>
  <si>
    <t>displayArea</t>
  </si>
  <si>
    <t>supplementaryPositionalDescription</t>
  </si>
  <si>
    <t>pointByCoordinates</t>
  </si>
  <si>
    <t>pointAlongLinearElement</t>
  </si>
  <si>
    <t>openlr</t>
  </si>
  <si>
    <t>urlLinkAddress</t>
  </si>
  <si>
    <t>popis</t>
  </si>
  <si>
    <t>positionOnCarriageway</t>
  </si>
  <si>
    <t>carriageway</t>
  </si>
  <si>
    <t>roadInformation</t>
  </si>
  <si>
    <t>laneNumber</t>
  </si>
  <si>
    <t>laneUsage</t>
  </si>
  <si>
    <t>roadDestination</t>
  </si>
  <si>
    <t>roadName</t>
  </si>
  <si>
    <t>roadNumber</t>
  </si>
  <si>
    <t>int</t>
  </si>
  <si>
    <t>float</t>
  </si>
  <si>
    <t>dedicatedUsageEnum</t>
  </si>
  <si>
    <r>
      <rPr>
        <sz val="9"/>
        <rFont val="Arial"/>
        <family val="2"/>
        <charset val="1"/>
      </rPr>
      <t xml:space="preserve">ZPI with one PDZ and one PIT gantry mounted, </t>
    </r>
    <r>
      <rPr>
        <sz val="9"/>
        <rFont val="Arial"/>
        <family val="2"/>
        <charset val="238"/>
      </rPr>
      <t>valid for whole road belt</t>
    </r>
  </si>
  <si>
    <t>5.6</t>
  </si>
  <si>
    <t>1xPictogramDisplayArea, 1xTextDisplayArea</t>
  </si>
  <si>
    <t>{destination}</t>
  </si>
  <si>
    <t>{name}</t>
  </si>
  <si>
    <t>{number}</t>
  </si>
  <si>
    <t>Mandatory (WGS84)</t>
  </si>
  <si>
    <t>(globalNetwork)</t>
  </si>
  <si>
    <t>milleage</t>
  </si>
  <si>
    <t>mandatory</t>
  </si>
  <si>
    <r>
      <rPr>
        <sz val="9"/>
        <rFont val="Arial"/>
        <family val="2"/>
        <charset val="1"/>
      </rPr>
      <t xml:space="preserve">ZPI with one PDZ and one PIT right side cantilever mounted, </t>
    </r>
    <r>
      <rPr>
        <sz val="9"/>
        <rFont val="Arial"/>
        <family val="2"/>
        <charset val="238"/>
      </rPr>
      <t>valid for whole road belt</t>
    </r>
  </si>
  <si>
    <t>PDZ mounted on left gantry structure, valid for whole road belt</t>
  </si>
  <si>
    <t>1xPictogramDisplayArea</t>
  </si>
  <si>
    <t>PDZ mounted on gantry above the road (above 2nd lane of 3 lanes), valid for 2nd lane</t>
  </si>
  <si>
    <t>PDZ mounted on gantry above the road (in between 1st and 2nd lane), valid for whole belt</t>
  </si>
  <si>
    <t>PIT symbol textual interpretation</t>
  </si>
  <si>
    <t>SYMBOL</t>
  </si>
  <si>
    <t>Czech</t>
  </si>
  <si>
    <t>English</t>
  </si>
  <si>
    <t>html Code</t>
  </si>
  <si>
    <t>(D)</t>
  </si>
  <si>
    <t>NO mapping</t>
  </si>
  <si>
    <t>st. C</t>
  </si>
  <si>
    <t>dg. C</t>
  </si>
  <si>
    <t>&amp;#8451;</t>
  </si>
  <si>
    <t>[345]</t>
  </si>
  <si>
    <t>EXIT</t>
  </si>
  <si>
    <t>OKOLÍ</t>
  </si>
  <si>
    <t>AMBIENT</t>
  </si>
  <si>
    <t>&amp;#9729;</t>
  </si>
  <si>
    <t>VOZOVKA</t>
  </si>
  <si>
    <t>ROAD</t>
  </si>
  <si>
    <t>NÁKLADNÍ VOZIDLO</t>
  </si>
  <si>
    <t>LORRY</t>
  </si>
  <si>
    <t>&amp;#9951;</t>
  </si>
  <si>
    <t>OSOBNÍ VOZIDLO</t>
  </si>
  <si>
    <t>CAR</t>
  </si>
  <si>
    <t xml:space="preserve">	
&amp;#128663;</t>
  </si>
  <si>
    <t>&lt;\-</t>
  </si>
  <si>
    <t>&amp;#8598;</t>
  </si>
  <si>
    <t>-/&gt;</t>
  </si>
  <si>
    <t>&amp;#8599;</t>
  </si>
  <si>
    <t>|^</t>
  </si>
  <si>
    <t>&amp;#8593;</t>
  </si>
  <si>
    <t>-&gt;</t>
  </si>
  <si>
    <t>&amp;#8594;</t>
  </si>
  <si>
    <t>'=&gt;</t>
  </si>
  <si>
    <t>&amp;#8658;</t>
  </si>
  <si>
    <t>B20a_150</t>
  </si>
  <si>
    <t>B20b_150</t>
  </si>
  <si>
    <t>Konec nejvyšší dovolené rychlosti</t>
  </si>
  <si>
    <r>
      <t xml:space="preserve">Tabulka piktogramů je identifikovaná ve statické publikaci v elementu </t>
    </r>
    <r>
      <rPr>
        <sz val="10"/>
        <color rgb="FFFF5050"/>
        <rFont val="Consolas"/>
        <family val="3"/>
        <charset val="238"/>
      </rPr>
      <t>pictogramCodeListIdentifier</t>
    </r>
    <r>
      <rPr>
        <sz val="12"/>
        <rFont val="Calibri"/>
        <family val="2"/>
        <charset val="238"/>
      </rPr>
      <t>.</t>
    </r>
  </si>
  <si>
    <t>Doplňkové tabulky piktogramů</t>
  </si>
  <si>
    <r>
      <t>Všechny piktogramy (</t>
    </r>
    <r>
      <rPr>
        <sz val="10"/>
        <color rgb="FFFF5050"/>
        <rFont val="Consolas"/>
        <family val="3"/>
        <charset val="238"/>
      </rPr>
      <t>pictogramDisplay</t>
    </r>
    <r>
      <rPr>
        <sz val="12"/>
        <rFont val="Calibri"/>
        <family val="2"/>
        <charset val="238"/>
      </rPr>
      <t>) a některé textové oblasti (</t>
    </r>
    <r>
      <rPr>
        <sz val="10"/>
        <color rgb="FFFF5050"/>
        <rFont val="Consolas"/>
        <family val="3"/>
        <charset val="238"/>
      </rPr>
      <t>textDisplay</t>
    </r>
    <r>
      <rPr>
        <sz val="12"/>
        <rFont val="Calibri"/>
        <family val="2"/>
        <charset val="238"/>
      </rPr>
      <t xml:space="preserve">) odkazují na fráze či informace do </t>
    </r>
    <r>
      <rPr>
        <b/>
        <sz val="12"/>
        <rFont val="Calibri"/>
        <family val="2"/>
        <charset val="238"/>
      </rPr>
      <t>předdefinované tabulky</t>
    </r>
    <r>
      <rPr>
        <sz val="12"/>
        <rFont val="Calibri"/>
        <family val="2"/>
        <charset val="238"/>
      </rPr>
      <t xml:space="preserve"> (tato tabulka) pomocí struktur: </t>
    </r>
    <r>
      <rPr>
        <sz val="10"/>
        <color rgb="FFFF5050"/>
        <rFont val="Consolas"/>
        <family val="3"/>
        <charset val="238"/>
      </rPr>
      <t>customPictogramCode</t>
    </r>
    <r>
      <rPr>
        <sz val="12"/>
        <rFont val="Calibri"/>
        <family val="2"/>
        <charset val="238"/>
      </rPr>
      <t xml:space="preserve"> (do tabulky piktogramů) a </t>
    </r>
    <r>
      <rPr>
        <sz val="10"/>
        <color rgb="FFFF5050"/>
        <rFont val="Consolas"/>
        <family val="3"/>
        <charset val="238"/>
      </rPr>
      <t>textCode</t>
    </r>
    <r>
      <rPr>
        <sz val="12"/>
        <rFont val="Calibri"/>
        <family val="2"/>
        <charset val="238"/>
      </rPr>
      <t xml:space="preserve"> (do tabulky textových frází).</t>
    </r>
  </si>
  <si>
    <r>
      <t xml:space="preserve">Tato tabulky je </t>
    </r>
    <r>
      <rPr>
        <b/>
        <sz val="12"/>
        <rFont val="Calibri"/>
        <family val="2"/>
        <charset val="238"/>
      </rPr>
      <t>pouze pro vysvětlující účely</t>
    </r>
    <r>
      <rPr>
        <sz val="12"/>
        <rFont val="Calibri"/>
        <family val="2"/>
        <charset val="238"/>
      </rPr>
      <t xml:space="preserve"> (tj. jakým způsobem byl zakódován určitý symbol). Tabulka frází může obsahovat překlad do jiného jazyka v případě opakujícího se textového popisu na PIT. Je na odběrateli zhodnocení jejich vhodnosti.</t>
    </r>
  </si>
  <si>
    <t>Verze</t>
  </si>
  <si>
    <t>tabulky</t>
  </si>
  <si>
    <t>původní verze tabulky</t>
  </si>
  <si>
    <t>v1.1</t>
  </si>
  <si>
    <t>v1.0</t>
  </si>
  <si>
    <t>doplnění tabulky o 3 řádky pro použití s lamelovou značkou omězení rychlosti 150 km/h</t>
  </si>
  <si>
    <t>cz-pictogram-code-list-v1.1</t>
  </si>
  <si>
    <t>cz-phrase-code-list-v1.0</t>
  </si>
  <si>
    <t>StaticInfoMapping-examples</t>
  </si>
  <si>
    <t>PIT_TextSymbolMapping</t>
  </si>
  <si>
    <t>Tabulka piktogramů, včetně popisu atributů</t>
  </si>
  <si>
    <t>Tabulka frází, není použita</t>
  </si>
  <si>
    <t>enumeration-values</t>
  </si>
  <si>
    <t>hodnoty všech výčtů publikace VMS</t>
  </si>
  <si>
    <t>příklady kódování VMS na portálu (a kombinacích)</t>
  </si>
  <si>
    <t>mapování symbolů do 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</si>
</sst>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name val="Arial"/>
      <family val="2"/>
      <charset val="238"/>
    </font>
    <font>
      <sz val="10"/>
      <name val="Arial"/>
      <family val="2"/>
      <charset val="1"/>
    </font>
    <font>
      <sz val="10"/>
      <color rgb="FFC9211E"/>
      <name val="Arial"/>
      <family val="2"/>
      <charset val="238"/>
    </font>
    <font>
      <i/>
      <sz val="10"/>
      <color rgb="FF666666"/>
      <name val="Arial"/>
      <family val="2"/>
      <charset val="238"/>
    </font>
    <font>
      <i/>
      <sz val="10"/>
      <color rgb="FF666666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2"/>
      <charset val="238"/>
    </font>
    <font>
      <sz val="11"/>
      <color rgb="FF000000"/>
      <name val="Calibri"/>
      <family val="2"/>
      <charset val="1"/>
    </font>
    <font>
      <sz val="9"/>
      <name val="Arial"/>
      <family val="2"/>
      <charset val="1"/>
    </font>
    <font>
      <i/>
      <sz val="9"/>
      <color rgb="FF666666"/>
      <name val="Arial"/>
      <family val="2"/>
      <charset val="1"/>
    </font>
    <font>
      <sz val="9"/>
      <name val="Arial"/>
      <family val="2"/>
      <charset val="238"/>
    </font>
    <font>
      <sz val="9"/>
      <color rgb="FFC9211E"/>
      <name val="Arial"/>
      <family val="2"/>
      <charset val="1"/>
    </font>
    <font>
      <sz val="9"/>
      <color rgb="FF666666"/>
      <name val="Arial"/>
      <family val="2"/>
      <charset val="1"/>
    </font>
    <font>
      <b/>
      <sz val="13"/>
      <name val="Arial"/>
      <family val="2"/>
      <charset val="238"/>
    </font>
    <font>
      <b/>
      <sz val="10"/>
      <name val="Arial"/>
      <family val="2"/>
      <charset val="238"/>
    </font>
    <font>
      <sz val="12"/>
      <name val="Calibri"/>
      <family val="2"/>
      <charset val="238"/>
    </font>
    <font>
      <sz val="10"/>
      <color rgb="FFFF5050"/>
      <name val="Consolas"/>
      <family val="3"/>
      <charset val="238"/>
    </font>
    <font>
      <sz val="12"/>
      <name val="Courier New"/>
      <family val="3"/>
      <charset val="238"/>
    </font>
    <font>
      <sz val="16"/>
      <name val="Arial"/>
      <family val="2"/>
      <charset val="238"/>
    </font>
    <font>
      <b/>
      <sz val="12"/>
      <name val="Calibri"/>
      <family val="2"/>
      <charset val="238"/>
    </font>
    <font>
      <sz val="8"/>
      <name val="Arial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rgb="FFD4EA6B"/>
        <bgColor rgb="FFFFE994"/>
      </patternFill>
    </fill>
    <fill>
      <patternFill patternType="solid">
        <fgColor rgb="FFAFD095"/>
        <bgColor rgb="FFB3CAC7"/>
      </patternFill>
    </fill>
    <fill>
      <patternFill patternType="solid">
        <fgColor rgb="FFDDDDDD"/>
        <bgColor rgb="FFEEEEEE"/>
      </patternFill>
    </fill>
    <fill>
      <patternFill patternType="solid">
        <fgColor rgb="FFB3CAC7"/>
        <bgColor rgb="FFB4C7DC"/>
      </patternFill>
    </fill>
    <fill>
      <patternFill patternType="solid">
        <fgColor rgb="FFB7B3CA"/>
        <bgColor rgb="FFB4C7DC"/>
      </patternFill>
    </fill>
    <fill>
      <patternFill patternType="solid">
        <fgColor rgb="FFFFB66C"/>
        <bgColor rgb="FFEC9BA4"/>
      </patternFill>
    </fill>
    <fill>
      <patternFill patternType="solid">
        <fgColor rgb="FFFFE994"/>
        <bgColor rgb="FFD4EA6B"/>
      </patternFill>
    </fill>
    <fill>
      <patternFill patternType="solid">
        <fgColor rgb="FFEC9BA4"/>
        <bgColor rgb="FFFF8080"/>
      </patternFill>
    </fill>
    <fill>
      <patternFill patternType="solid">
        <fgColor rgb="FFB4C7DC"/>
        <bgColor rgb="FFB3CAC7"/>
      </patternFill>
    </fill>
    <fill>
      <patternFill patternType="solid">
        <fgColor rgb="FFEEEEEE"/>
        <bgColor rgb="FFDDDDDD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10" borderId="1" xfId="0" applyFill="1" applyBorder="1" applyAlignment="1">
      <alignment horizontal="left" wrapText="1"/>
    </xf>
    <xf numFmtId="0" fontId="2" fillId="6" borderId="1" xfId="0" applyFont="1" applyFill="1" applyBorder="1" applyAlignment="1">
      <alignment horizontal="left" wrapText="1"/>
    </xf>
    <xf numFmtId="0" fontId="0" fillId="9" borderId="1" xfId="0" applyFill="1" applyBorder="1" applyAlignment="1">
      <alignment horizontal="left" wrapText="1"/>
    </xf>
    <xf numFmtId="0" fontId="0" fillId="8" borderId="1" xfId="0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left" wrapText="1"/>
    </xf>
    <xf numFmtId="0" fontId="0" fillId="3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0" borderId="1" xfId="0" applyBorder="1" applyAlignment="1">
      <alignment horizontal="right" wrapText="1"/>
    </xf>
    <xf numFmtId="0" fontId="1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7" borderId="1" xfId="0" applyFill="1" applyBorder="1" applyAlignment="1">
      <alignment horizontal="left" wrapText="1"/>
    </xf>
    <xf numFmtId="0" fontId="0" fillId="9" borderId="1" xfId="0" applyFill="1" applyBorder="1" applyAlignment="1">
      <alignment horizontal="left" wrapText="1"/>
    </xf>
    <xf numFmtId="0" fontId="0" fillId="10" borderId="1" xfId="0" applyFill="1" applyBorder="1" applyAlignment="1">
      <alignment horizontal="left" wrapText="1"/>
    </xf>
    <xf numFmtId="0" fontId="3" fillId="11" borderId="1" xfId="0" applyFont="1" applyFill="1" applyBorder="1" applyAlignment="1">
      <alignment horizontal="right" wrapText="1"/>
    </xf>
    <xf numFmtId="0" fontId="3" fillId="11" borderId="1" xfId="0" applyFont="1" applyFill="1" applyBorder="1" applyAlignment="1">
      <alignment horizontal="left" wrapText="1"/>
    </xf>
    <xf numFmtId="0" fontId="4" fillId="11" borderId="1" xfId="0" applyFont="1" applyFill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0" fillId="0" borderId="1" xfId="0" applyBorder="1" applyAlignment="1">
      <alignment horizontal="right"/>
    </xf>
    <xf numFmtId="0" fontId="0" fillId="0" borderId="1" xfId="0" applyBorder="1"/>
    <xf numFmtId="0" fontId="1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5" fillId="0" borderId="1" xfId="0" applyFont="1" applyBorder="1" applyAlignment="1">
      <alignment wrapText="1"/>
    </xf>
    <xf numFmtId="0" fontId="2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/>
    <xf numFmtId="0" fontId="8" fillId="0" borderId="0" xfId="0" applyFont="1"/>
    <xf numFmtId="0" fontId="9" fillId="0" borderId="2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8" fillId="0" borderId="1" xfId="0" applyFont="1" applyBorder="1"/>
    <xf numFmtId="0" fontId="10" fillId="0" borderId="1" xfId="0" applyFont="1" applyBorder="1"/>
    <xf numFmtId="0" fontId="11" fillId="0" borderId="0" xfId="0" applyFont="1"/>
    <xf numFmtId="0" fontId="9" fillId="11" borderId="1" xfId="0" applyFont="1" applyFill="1" applyBorder="1" applyAlignment="1">
      <alignment horizontal="left" wrapText="1"/>
    </xf>
    <xf numFmtId="0" fontId="12" fillId="11" borderId="1" xfId="0" applyFont="1" applyFill="1" applyBorder="1" applyAlignment="1">
      <alignment horizontal="left" wrapText="1"/>
    </xf>
    <xf numFmtId="0" fontId="8" fillId="0" borderId="1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8" fillId="0" borderId="0" xfId="0" applyFont="1" applyAlignment="1">
      <alignment wrapText="1"/>
    </xf>
    <xf numFmtId="0" fontId="0" fillId="4" borderId="1" xfId="0" applyFill="1" applyBorder="1"/>
    <xf numFmtId="0" fontId="14" fillId="4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7" borderId="1" xfId="0" applyFill="1" applyBorder="1" applyAlignment="1">
      <alignment horizontal="left" wrapText="1"/>
    </xf>
    <xf numFmtId="0" fontId="10" fillId="2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left"/>
    </xf>
    <xf numFmtId="0" fontId="15" fillId="0" borderId="0" xfId="0" applyFont="1" applyBorder="1" applyAlignment="1">
      <alignment vertical="center" wrapText="1"/>
    </xf>
    <xf numFmtId="0" fontId="18" fillId="12" borderId="0" xfId="0" applyFont="1" applyFill="1" applyAlignment="1">
      <alignment horizontal="center" vertical="center"/>
    </xf>
    <xf numFmtId="0" fontId="15" fillId="12" borderId="0" xfId="0" applyFont="1" applyFill="1" applyAlignment="1">
      <alignment horizontal="left" vertical="center" wrapText="1"/>
    </xf>
    <xf numFmtId="0" fontId="0" fillId="12" borderId="0" xfId="0" applyFill="1" applyAlignment="1">
      <alignment horizontal="left" vertical="center"/>
    </xf>
    <xf numFmtId="0" fontId="17" fillId="12" borderId="0" xfId="0" applyFont="1" applyFill="1" applyAlignment="1">
      <alignment horizontal="left" vertical="center" indent="6"/>
    </xf>
    <xf numFmtId="0" fontId="0" fillId="12" borderId="0" xfId="0" applyFill="1"/>
    <xf numFmtId="0" fontId="15" fillId="12" borderId="4" xfId="0" applyFont="1" applyFill="1" applyBorder="1" applyAlignment="1">
      <alignment horizontal="left" vertical="center" wrapText="1"/>
    </xf>
    <xf numFmtId="0" fontId="15" fillId="12" borderId="5" xfId="0" applyFont="1" applyFill="1" applyBorder="1" applyAlignment="1">
      <alignment horizontal="left"/>
    </xf>
    <xf numFmtId="0" fontId="15" fillId="12" borderId="6" xfId="0" applyFont="1" applyFill="1" applyBorder="1" applyAlignment="1">
      <alignment horizontal="left"/>
    </xf>
    <xf numFmtId="16" fontId="15" fillId="12" borderId="4" xfId="0" applyNumberFormat="1" applyFont="1" applyFill="1" applyBorder="1" applyAlignment="1">
      <alignment horizontal="left" vertical="center" wrapText="1"/>
    </xf>
    <xf numFmtId="0" fontId="15" fillId="12" borderId="5" xfId="0" applyFont="1" applyFill="1" applyBorder="1" applyAlignment="1">
      <alignment horizontal="left" vertical="center" wrapText="1"/>
    </xf>
    <xf numFmtId="0" fontId="15" fillId="12" borderId="6" xfId="0" applyFont="1" applyFill="1" applyBorder="1" applyAlignment="1">
      <alignment horizontal="left" vertical="center" wrapText="1"/>
    </xf>
    <xf numFmtId="0" fontId="15" fillId="12" borderId="0" xfId="0" applyFont="1" applyFill="1" applyAlignment="1">
      <alignment horizontal="left" vertical="center" wrapText="1"/>
    </xf>
    <xf numFmtId="0" fontId="15" fillId="12" borderId="4" xfId="0" applyFont="1" applyFill="1" applyBorder="1" applyAlignment="1">
      <alignment horizontal="left" vertical="center" wrapText="1"/>
    </xf>
    <xf numFmtId="0" fontId="15" fillId="12" borderId="4" xfId="0" applyFont="1" applyFill="1" applyBorder="1" applyAlignment="1">
      <alignment horizontal="left"/>
    </xf>
    <xf numFmtId="0" fontId="15" fillId="12" borderId="4" xfId="0" applyFont="1" applyFill="1" applyBorder="1" applyAlignment="1">
      <alignment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D4EA6B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E994"/>
      <rgbColor rgb="FFAFD095"/>
      <rgbColor rgb="FFEC9BA4"/>
      <rgbColor rgb="FFB7B3CA"/>
      <rgbColor rgb="FFFFB66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26" Type="http://schemas.openxmlformats.org/officeDocument/2006/relationships/image" Target="../media/image29.png"/><Relationship Id="rId39" Type="http://schemas.openxmlformats.org/officeDocument/2006/relationships/image" Target="../media/image42.png"/><Relationship Id="rId21" Type="http://schemas.openxmlformats.org/officeDocument/2006/relationships/image" Target="../media/image24.png"/><Relationship Id="rId34" Type="http://schemas.openxmlformats.org/officeDocument/2006/relationships/image" Target="../media/image37.png"/><Relationship Id="rId42" Type="http://schemas.openxmlformats.org/officeDocument/2006/relationships/image" Target="../media/image45.png"/><Relationship Id="rId47" Type="http://schemas.openxmlformats.org/officeDocument/2006/relationships/image" Target="../media/image50.png"/><Relationship Id="rId50" Type="http://schemas.openxmlformats.org/officeDocument/2006/relationships/image" Target="../media/image53.png"/><Relationship Id="rId55" Type="http://schemas.openxmlformats.org/officeDocument/2006/relationships/image" Target="../media/image58.png"/><Relationship Id="rId63" Type="http://schemas.openxmlformats.org/officeDocument/2006/relationships/image" Target="../media/image6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9" Type="http://schemas.openxmlformats.org/officeDocument/2006/relationships/image" Target="../media/image32.png"/><Relationship Id="rId11" Type="http://schemas.openxmlformats.org/officeDocument/2006/relationships/image" Target="../media/image14.png"/><Relationship Id="rId24" Type="http://schemas.openxmlformats.org/officeDocument/2006/relationships/image" Target="../media/image27.png"/><Relationship Id="rId32" Type="http://schemas.openxmlformats.org/officeDocument/2006/relationships/image" Target="../media/image35.png"/><Relationship Id="rId37" Type="http://schemas.openxmlformats.org/officeDocument/2006/relationships/image" Target="../media/image40.png"/><Relationship Id="rId40" Type="http://schemas.openxmlformats.org/officeDocument/2006/relationships/image" Target="../media/image43.png"/><Relationship Id="rId45" Type="http://schemas.openxmlformats.org/officeDocument/2006/relationships/image" Target="../media/image48.png"/><Relationship Id="rId53" Type="http://schemas.openxmlformats.org/officeDocument/2006/relationships/image" Target="../media/image56.png"/><Relationship Id="rId58" Type="http://schemas.openxmlformats.org/officeDocument/2006/relationships/image" Target="../media/image61.png"/><Relationship Id="rId5" Type="http://schemas.openxmlformats.org/officeDocument/2006/relationships/image" Target="../media/image8.png"/><Relationship Id="rId61" Type="http://schemas.openxmlformats.org/officeDocument/2006/relationships/image" Target="../media/image64.png"/><Relationship Id="rId19" Type="http://schemas.openxmlformats.org/officeDocument/2006/relationships/image" Target="../media/image22.png"/><Relationship Id="rId14" Type="http://schemas.openxmlformats.org/officeDocument/2006/relationships/image" Target="../media/image17.png"/><Relationship Id="rId22" Type="http://schemas.openxmlformats.org/officeDocument/2006/relationships/image" Target="../media/image25.png"/><Relationship Id="rId27" Type="http://schemas.openxmlformats.org/officeDocument/2006/relationships/image" Target="../media/image30.png"/><Relationship Id="rId30" Type="http://schemas.openxmlformats.org/officeDocument/2006/relationships/image" Target="../media/image33.png"/><Relationship Id="rId35" Type="http://schemas.openxmlformats.org/officeDocument/2006/relationships/image" Target="../media/image38.png"/><Relationship Id="rId43" Type="http://schemas.openxmlformats.org/officeDocument/2006/relationships/image" Target="../media/image46.png"/><Relationship Id="rId48" Type="http://schemas.openxmlformats.org/officeDocument/2006/relationships/image" Target="../media/image51.png"/><Relationship Id="rId56" Type="http://schemas.openxmlformats.org/officeDocument/2006/relationships/image" Target="../media/image59.wmf"/><Relationship Id="rId64" Type="http://schemas.openxmlformats.org/officeDocument/2006/relationships/image" Target="../media/image67.png"/><Relationship Id="rId8" Type="http://schemas.openxmlformats.org/officeDocument/2006/relationships/image" Target="../media/image11.png"/><Relationship Id="rId51" Type="http://schemas.openxmlformats.org/officeDocument/2006/relationships/image" Target="../media/image54.png"/><Relationship Id="rId3" Type="http://schemas.openxmlformats.org/officeDocument/2006/relationships/image" Target="../media/image6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5" Type="http://schemas.openxmlformats.org/officeDocument/2006/relationships/image" Target="../media/image28.png"/><Relationship Id="rId33" Type="http://schemas.openxmlformats.org/officeDocument/2006/relationships/image" Target="../media/image36.png"/><Relationship Id="rId38" Type="http://schemas.openxmlformats.org/officeDocument/2006/relationships/image" Target="../media/image41.png"/><Relationship Id="rId46" Type="http://schemas.openxmlformats.org/officeDocument/2006/relationships/image" Target="../media/image49.png"/><Relationship Id="rId59" Type="http://schemas.openxmlformats.org/officeDocument/2006/relationships/image" Target="../media/image62.png"/><Relationship Id="rId20" Type="http://schemas.openxmlformats.org/officeDocument/2006/relationships/image" Target="../media/image23.png"/><Relationship Id="rId41" Type="http://schemas.openxmlformats.org/officeDocument/2006/relationships/image" Target="../media/image44.png"/><Relationship Id="rId54" Type="http://schemas.openxmlformats.org/officeDocument/2006/relationships/image" Target="../media/image57.png"/><Relationship Id="rId62" Type="http://schemas.openxmlformats.org/officeDocument/2006/relationships/image" Target="../media/image6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5" Type="http://schemas.openxmlformats.org/officeDocument/2006/relationships/image" Target="../media/image18.png"/><Relationship Id="rId23" Type="http://schemas.openxmlformats.org/officeDocument/2006/relationships/image" Target="../media/image26.png"/><Relationship Id="rId28" Type="http://schemas.openxmlformats.org/officeDocument/2006/relationships/image" Target="../media/image31.png"/><Relationship Id="rId36" Type="http://schemas.openxmlformats.org/officeDocument/2006/relationships/image" Target="../media/image39.png"/><Relationship Id="rId49" Type="http://schemas.openxmlformats.org/officeDocument/2006/relationships/image" Target="../media/image52.png"/><Relationship Id="rId57" Type="http://schemas.openxmlformats.org/officeDocument/2006/relationships/image" Target="../media/image60.png"/><Relationship Id="rId10" Type="http://schemas.openxmlformats.org/officeDocument/2006/relationships/image" Target="../media/image13.png"/><Relationship Id="rId31" Type="http://schemas.openxmlformats.org/officeDocument/2006/relationships/image" Target="../media/image34.png"/><Relationship Id="rId44" Type="http://schemas.openxmlformats.org/officeDocument/2006/relationships/image" Target="../media/image47.png"/><Relationship Id="rId52" Type="http://schemas.openxmlformats.org/officeDocument/2006/relationships/image" Target="../media/image55.png"/><Relationship Id="rId60" Type="http://schemas.openxmlformats.org/officeDocument/2006/relationships/image" Target="../media/image6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0.png"/><Relationship Id="rId2" Type="http://schemas.openxmlformats.org/officeDocument/2006/relationships/image" Target="../media/image69.png"/><Relationship Id="rId1" Type="http://schemas.openxmlformats.org/officeDocument/2006/relationships/image" Target="../media/image68.png"/><Relationship Id="rId5" Type="http://schemas.openxmlformats.org/officeDocument/2006/relationships/image" Target="../media/image72.png"/><Relationship Id="rId4" Type="http://schemas.openxmlformats.org/officeDocument/2006/relationships/image" Target="../media/image7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0.png"/><Relationship Id="rId13" Type="http://schemas.openxmlformats.org/officeDocument/2006/relationships/image" Target="../media/image85.png"/><Relationship Id="rId3" Type="http://schemas.openxmlformats.org/officeDocument/2006/relationships/image" Target="../media/image75.png"/><Relationship Id="rId7" Type="http://schemas.openxmlformats.org/officeDocument/2006/relationships/image" Target="../media/image79.png"/><Relationship Id="rId12" Type="http://schemas.openxmlformats.org/officeDocument/2006/relationships/image" Target="../media/image84.png"/><Relationship Id="rId2" Type="http://schemas.openxmlformats.org/officeDocument/2006/relationships/image" Target="../media/image74.png"/><Relationship Id="rId1" Type="http://schemas.openxmlformats.org/officeDocument/2006/relationships/image" Target="../media/image73.png"/><Relationship Id="rId6" Type="http://schemas.openxmlformats.org/officeDocument/2006/relationships/image" Target="../media/image78.png"/><Relationship Id="rId11" Type="http://schemas.openxmlformats.org/officeDocument/2006/relationships/image" Target="../media/image83.png"/><Relationship Id="rId5" Type="http://schemas.openxmlformats.org/officeDocument/2006/relationships/image" Target="../media/image77.png"/><Relationship Id="rId10" Type="http://schemas.openxmlformats.org/officeDocument/2006/relationships/image" Target="../media/image82.png"/><Relationship Id="rId4" Type="http://schemas.openxmlformats.org/officeDocument/2006/relationships/image" Target="../media/image76.png"/><Relationship Id="rId9" Type="http://schemas.openxmlformats.org/officeDocument/2006/relationships/image" Target="../media/image8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30</xdr:row>
      <xdr:rowOff>0</xdr:rowOff>
    </xdr:from>
    <xdr:to>
      <xdr:col>4</xdr:col>
      <xdr:colOff>378000</xdr:colOff>
      <xdr:row>30</xdr:row>
      <xdr:rowOff>314640</xdr:rowOff>
    </xdr:to>
    <xdr:pic>
      <xdr:nvPicPr>
        <xdr:cNvPr id="2" name="Obrázek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499200" y="11550600"/>
          <a:ext cx="378000" cy="3146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</xdr:row>
      <xdr:rowOff>0</xdr:rowOff>
    </xdr:from>
    <xdr:to>
      <xdr:col>4</xdr:col>
      <xdr:colOff>378000</xdr:colOff>
      <xdr:row>10</xdr:row>
      <xdr:rowOff>316800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499200" y="3435120"/>
          <a:ext cx="378000" cy="3168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14</xdr:row>
      <xdr:rowOff>0</xdr:rowOff>
    </xdr:from>
    <xdr:to>
      <xdr:col>4</xdr:col>
      <xdr:colOff>378000</xdr:colOff>
      <xdr:row>14</xdr:row>
      <xdr:rowOff>315000</xdr:rowOff>
    </xdr:to>
    <xdr:pic>
      <xdr:nvPicPr>
        <xdr:cNvPr id="4" name="Obrázek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3499200" y="5058360"/>
          <a:ext cx="378000" cy="315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17</xdr:row>
      <xdr:rowOff>0</xdr:rowOff>
    </xdr:from>
    <xdr:to>
      <xdr:col>4</xdr:col>
      <xdr:colOff>378000</xdr:colOff>
      <xdr:row>17</xdr:row>
      <xdr:rowOff>318240</xdr:rowOff>
    </xdr:to>
    <xdr:pic>
      <xdr:nvPicPr>
        <xdr:cNvPr id="5" name="Obrázek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3499200" y="6275520"/>
          <a:ext cx="378000" cy="318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19</xdr:row>
      <xdr:rowOff>0</xdr:rowOff>
    </xdr:from>
    <xdr:to>
      <xdr:col>4</xdr:col>
      <xdr:colOff>378000</xdr:colOff>
      <xdr:row>19</xdr:row>
      <xdr:rowOff>320760</xdr:rowOff>
    </xdr:to>
    <xdr:pic>
      <xdr:nvPicPr>
        <xdr:cNvPr id="6" name="Obrázek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3499200" y="7086960"/>
          <a:ext cx="378000" cy="3207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21</xdr:row>
      <xdr:rowOff>0</xdr:rowOff>
    </xdr:from>
    <xdr:to>
      <xdr:col>4</xdr:col>
      <xdr:colOff>378000</xdr:colOff>
      <xdr:row>21</xdr:row>
      <xdr:rowOff>315360</xdr:rowOff>
    </xdr:to>
    <xdr:pic>
      <xdr:nvPicPr>
        <xdr:cNvPr id="7" name="Obrázek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3499200" y="7898760"/>
          <a:ext cx="378000" cy="3153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23</xdr:row>
      <xdr:rowOff>0</xdr:rowOff>
    </xdr:from>
    <xdr:to>
      <xdr:col>4</xdr:col>
      <xdr:colOff>378000</xdr:colOff>
      <xdr:row>23</xdr:row>
      <xdr:rowOff>306360</xdr:rowOff>
    </xdr:to>
    <xdr:pic>
      <xdr:nvPicPr>
        <xdr:cNvPr id="8" name="Obrázek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3499200" y="8710200"/>
          <a:ext cx="378000" cy="3063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7</xdr:row>
      <xdr:rowOff>0</xdr:rowOff>
    </xdr:from>
    <xdr:to>
      <xdr:col>4</xdr:col>
      <xdr:colOff>378000</xdr:colOff>
      <xdr:row>7</xdr:row>
      <xdr:rowOff>318600</xdr:rowOff>
    </xdr:to>
    <xdr:pic>
      <xdr:nvPicPr>
        <xdr:cNvPr id="9" name="Obrázek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3499200" y="2217960"/>
          <a:ext cx="378000" cy="3186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12</xdr:row>
      <xdr:rowOff>0</xdr:rowOff>
    </xdr:from>
    <xdr:to>
      <xdr:col>4</xdr:col>
      <xdr:colOff>378000</xdr:colOff>
      <xdr:row>12</xdr:row>
      <xdr:rowOff>324720</xdr:rowOff>
    </xdr:to>
    <xdr:pic>
      <xdr:nvPicPr>
        <xdr:cNvPr id="10" name="Obrázek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3499200" y="4246560"/>
          <a:ext cx="378000" cy="3247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31</xdr:row>
      <xdr:rowOff>0</xdr:rowOff>
    </xdr:from>
    <xdr:to>
      <xdr:col>4</xdr:col>
      <xdr:colOff>378000</xdr:colOff>
      <xdr:row>31</xdr:row>
      <xdr:rowOff>355680</xdr:rowOff>
    </xdr:to>
    <xdr:pic>
      <xdr:nvPicPr>
        <xdr:cNvPr id="11" name="Obrázek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3499200" y="11956320"/>
          <a:ext cx="378000" cy="3556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11</xdr:row>
      <xdr:rowOff>0</xdr:rowOff>
    </xdr:from>
    <xdr:to>
      <xdr:col>4</xdr:col>
      <xdr:colOff>378000</xdr:colOff>
      <xdr:row>11</xdr:row>
      <xdr:rowOff>309600</xdr:rowOff>
    </xdr:to>
    <xdr:pic>
      <xdr:nvPicPr>
        <xdr:cNvPr id="12" name="Obrázek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3499200" y="3840840"/>
          <a:ext cx="378000" cy="3096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18</xdr:row>
      <xdr:rowOff>0</xdr:rowOff>
    </xdr:from>
    <xdr:to>
      <xdr:col>4</xdr:col>
      <xdr:colOff>378000</xdr:colOff>
      <xdr:row>18</xdr:row>
      <xdr:rowOff>318240</xdr:rowOff>
    </xdr:to>
    <xdr:pic>
      <xdr:nvPicPr>
        <xdr:cNvPr id="13" name="Obrázek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3499200" y="6681240"/>
          <a:ext cx="378000" cy="318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20</xdr:row>
      <xdr:rowOff>0</xdr:rowOff>
    </xdr:from>
    <xdr:to>
      <xdr:col>4</xdr:col>
      <xdr:colOff>378000</xdr:colOff>
      <xdr:row>20</xdr:row>
      <xdr:rowOff>322560</xdr:rowOff>
    </xdr:to>
    <xdr:pic>
      <xdr:nvPicPr>
        <xdr:cNvPr id="14" name="Obrázek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3499200" y="7492680"/>
          <a:ext cx="378000" cy="3225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22</xdr:row>
      <xdr:rowOff>0</xdr:rowOff>
    </xdr:from>
    <xdr:to>
      <xdr:col>4</xdr:col>
      <xdr:colOff>378000</xdr:colOff>
      <xdr:row>22</xdr:row>
      <xdr:rowOff>313920</xdr:rowOff>
    </xdr:to>
    <xdr:pic>
      <xdr:nvPicPr>
        <xdr:cNvPr id="15" name="Obrázek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3499200" y="8304480"/>
          <a:ext cx="378000" cy="3139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24</xdr:row>
      <xdr:rowOff>0</xdr:rowOff>
    </xdr:from>
    <xdr:to>
      <xdr:col>4</xdr:col>
      <xdr:colOff>378000</xdr:colOff>
      <xdr:row>24</xdr:row>
      <xdr:rowOff>308520</xdr:rowOff>
    </xdr:to>
    <xdr:pic>
      <xdr:nvPicPr>
        <xdr:cNvPr id="16" name="Obrázek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3499200" y="9115920"/>
          <a:ext cx="378000" cy="3085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13</xdr:row>
      <xdr:rowOff>0</xdr:rowOff>
    </xdr:from>
    <xdr:to>
      <xdr:col>4</xdr:col>
      <xdr:colOff>378000</xdr:colOff>
      <xdr:row>13</xdr:row>
      <xdr:rowOff>332640</xdr:rowOff>
    </xdr:to>
    <xdr:pic>
      <xdr:nvPicPr>
        <xdr:cNvPr id="17" name="Obrázek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3499200" y="4652640"/>
          <a:ext cx="378000" cy="3326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8</xdr:row>
      <xdr:rowOff>0</xdr:rowOff>
    </xdr:from>
    <xdr:to>
      <xdr:col>4</xdr:col>
      <xdr:colOff>378000</xdr:colOff>
      <xdr:row>8</xdr:row>
      <xdr:rowOff>332640</xdr:rowOff>
    </xdr:to>
    <xdr:pic>
      <xdr:nvPicPr>
        <xdr:cNvPr id="18" name="Obrázek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3499200" y="2623680"/>
          <a:ext cx="378000" cy="3326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26</xdr:row>
      <xdr:rowOff>0</xdr:rowOff>
    </xdr:from>
    <xdr:to>
      <xdr:col>4</xdr:col>
      <xdr:colOff>378000</xdr:colOff>
      <xdr:row>26</xdr:row>
      <xdr:rowOff>332280</xdr:rowOff>
    </xdr:to>
    <xdr:pic>
      <xdr:nvPicPr>
        <xdr:cNvPr id="19" name="Obrázek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3499200" y="9927360"/>
          <a:ext cx="378000" cy="3322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28</xdr:row>
      <xdr:rowOff>0</xdr:rowOff>
    </xdr:from>
    <xdr:to>
      <xdr:col>4</xdr:col>
      <xdr:colOff>378000</xdr:colOff>
      <xdr:row>28</xdr:row>
      <xdr:rowOff>329760</xdr:rowOff>
    </xdr:to>
    <xdr:pic>
      <xdr:nvPicPr>
        <xdr:cNvPr id="20" name="Obrázek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3499200" y="10738800"/>
          <a:ext cx="378000" cy="3297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29</xdr:row>
      <xdr:rowOff>0</xdr:rowOff>
    </xdr:from>
    <xdr:to>
      <xdr:col>4</xdr:col>
      <xdr:colOff>378000</xdr:colOff>
      <xdr:row>29</xdr:row>
      <xdr:rowOff>320040</xdr:rowOff>
    </xdr:to>
    <xdr:pic>
      <xdr:nvPicPr>
        <xdr:cNvPr id="21" name="Obrázek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3499200" y="11144880"/>
          <a:ext cx="378000" cy="3200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32</xdr:row>
      <xdr:rowOff>0</xdr:rowOff>
    </xdr:from>
    <xdr:to>
      <xdr:col>4</xdr:col>
      <xdr:colOff>378000</xdr:colOff>
      <xdr:row>32</xdr:row>
      <xdr:rowOff>329760</xdr:rowOff>
    </xdr:to>
    <xdr:pic>
      <xdr:nvPicPr>
        <xdr:cNvPr id="22" name="Obrázek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3499200" y="12362040"/>
          <a:ext cx="378000" cy="3297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6</xdr:row>
      <xdr:rowOff>0</xdr:rowOff>
    </xdr:from>
    <xdr:to>
      <xdr:col>4</xdr:col>
      <xdr:colOff>378000</xdr:colOff>
      <xdr:row>6</xdr:row>
      <xdr:rowOff>334800</xdr:rowOff>
    </xdr:to>
    <xdr:pic>
      <xdr:nvPicPr>
        <xdr:cNvPr id="23" name="Obrázek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3499200" y="1812240"/>
          <a:ext cx="378000" cy="3348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45</xdr:row>
      <xdr:rowOff>0</xdr:rowOff>
    </xdr:from>
    <xdr:to>
      <xdr:col>4</xdr:col>
      <xdr:colOff>378000</xdr:colOff>
      <xdr:row>45</xdr:row>
      <xdr:rowOff>365760</xdr:rowOff>
    </xdr:to>
    <xdr:pic>
      <xdr:nvPicPr>
        <xdr:cNvPr id="24" name="Obrázek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3499200" y="17637120"/>
          <a:ext cx="378000" cy="3657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16</xdr:row>
      <xdr:rowOff>0</xdr:rowOff>
    </xdr:from>
    <xdr:to>
      <xdr:col>4</xdr:col>
      <xdr:colOff>378000</xdr:colOff>
      <xdr:row>16</xdr:row>
      <xdr:rowOff>391680</xdr:rowOff>
    </xdr:to>
    <xdr:pic>
      <xdr:nvPicPr>
        <xdr:cNvPr id="25" name="Obrázek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3499200" y="5869800"/>
          <a:ext cx="378000" cy="3916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93</xdr:row>
      <xdr:rowOff>0</xdr:rowOff>
    </xdr:from>
    <xdr:to>
      <xdr:col>4</xdr:col>
      <xdr:colOff>378000</xdr:colOff>
      <xdr:row>93</xdr:row>
      <xdr:rowOff>388800</xdr:rowOff>
    </xdr:to>
    <xdr:pic>
      <xdr:nvPicPr>
        <xdr:cNvPr id="26" name="Obrázek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3499200" y="37113840"/>
          <a:ext cx="378000" cy="3888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94</xdr:row>
      <xdr:rowOff>0</xdr:rowOff>
    </xdr:from>
    <xdr:to>
      <xdr:col>4</xdr:col>
      <xdr:colOff>378000</xdr:colOff>
      <xdr:row>94</xdr:row>
      <xdr:rowOff>388440</xdr:rowOff>
    </xdr:to>
    <xdr:pic>
      <xdr:nvPicPr>
        <xdr:cNvPr id="27" name="Obrázek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3499200" y="37519560"/>
          <a:ext cx="378000" cy="3884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96</xdr:row>
      <xdr:rowOff>0</xdr:rowOff>
    </xdr:from>
    <xdr:to>
      <xdr:col>4</xdr:col>
      <xdr:colOff>378000</xdr:colOff>
      <xdr:row>96</xdr:row>
      <xdr:rowOff>390960</xdr:rowOff>
    </xdr:to>
    <xdr:pic>
      <xdr:nvPicPr>
        <xdr:cNvPr id="28" name="Obrázek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3499200" y="38331000"/>
          <a:ext cx="378000" cy="3909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95</xdr:row>
      <xdr:rowOff>0</xdr:rowOff>
    </xdr:from>
    <xdr:to>
      <xdr:col>4</xdr:col>
      <xdr:colOff>378000</xdr:colOff>
      <xdr:row>95</xdr:row>
      <xdr:rowOff>381240</xdr:rowOff>
    </xdr:to>
    <xdr:pic>
      <xdr:nvPicPr>
        <xdr:cNvPr id="29" name="Obrázek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3499200" y="37925280"/>
          <a:ext cx="378000" cy="381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101</xdr:row>
      <xdr:rowOff>0</xdr:rowOff>
    </xdr:from>
    <xdr:to>
      <xdr:col>4</xdr:col>
      <xdr:colOff>378000</xdr:colOff>
      <xdr:row>101</xdr:row>
      <xdr:rowOff>363960</xdr:rowOff>
    </xdr:to>
    <xdr:pic>
      <xdr:nvPicPr>
        <xdr:cNvPr id="30" name="Obrázek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3499200" y="40359960"/>
          <a:ext cx="378000" cy="3639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102</xdr:row>
      <xdr:rowOff>0</xdr:rowOff>
    </xdr:from>
    <xdr:to>
      <xdr:col>4</xdr:col>
      <xdr:colOff>378000</xdr:colOff>
      <xdr:row>102</xdr:row>
      <xdr:rowOff>358200</xdr:rowOff>
    </xdr:to>
    <xdr:pic>
      <xdr:nvPicPr>
        <xdr:cNvPr id="31" name="Obrázek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3499200" y="40765680"/>
          <a:ext cx="378000" cy="3582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47</xdr:row>
      <xdr:rowOff>0</xdr:rowOff>
    </xdr:from>
    <xdr:to>
      <xdr:col>4</xdr:col>
      <xdr:colOff>378000</xdr:colOff>
      <xdr:row>47</xdr:row>
      <xdr:rowOff>334440</xdr:rowOff>
    </xdr:to>
    <xdr:pic>
      <xdr:nvPicPr>
        <xdr:cNvPr id="32" name="Obrázek 33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3499200" y="18448560"/>
          <a:ext cx="378000" cy="3344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25</xdr:row>
      <xdr:rowOff>0</xdr:rowOff>
    </xdr:from>
    <xdr:to>
      <xdr:col>4</xdr:col>
      <xdr:colOff>378000</xdr:colOff>
      <xdr:row>25</xdr:row>
      <xdr:rowOff>365040</xdr:rowOff>
    </xdr:to>
    <xdr:pic>
      <xdr:nvPicPr>
        <xdr:cNvPr id="33" name="Obrázek 34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3499200" y="9521640"/>
          <a:ext cx="378000" cy="3650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</xdr:row>
      <xdr:rowOff>0</xdr:rowOff>
    </xdr:from>
    <xdr:to>
      <xdr:col>4</xdr:col>
      <xdr:colOff>378000</xdr:colOff>
      <xdr:row>9</xdr:row>
      <xdr:rowOff>335880</xdr:rowOff>
    </xdr:to>
    <xdr:pic>
      <xdr:nvPicPr>
        <xdr:cNvPr id="34" name="Obrázek 35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3499200" y="3029400"/>
          <a:ext cx="378000" cy="3358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15</xdr:row>
      <xdr:rowOff>0</xdr:rowOff>
    </xdr:from>
    <xdr:to>
      <xdr:col>4</xdr:col>
      <xdr:colOff>378000</xdr:colOff>
      <xdr:row>15</xdr:row>
      <xdr:rowOff>354600</xdr:rowOff>
    </xdr:to>
    <xdr:pic>
      <xdr:nvPicPr>
        <xdr:cNvPr id="35" name="Obrázek 36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3499200" y="5464080"/>
          <a:ext cx="378000" cy="3546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27</xdr:row>
      <xdr:rowOff>0</xdr:rowOff>
    </xdr:from>
    <xdr:to>
      <xdr:col>4</xdr:col>
      <xdr:colOff>378000</xdr:colOff>
      <xdr:row>27</xdr:row>
      <xdr:rowOff>327600</xdr:rowOff>
    </xdr:to>
    <xdr:pic>
      <xdr:nvPicPr>
        <xdr:cNvPr id="36" name="Obrázek 37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3499200" y="10333080"/>
          <a:ext cx="378000" cy="3276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36</xdr:row>
      <xdr:rowOff>0</xdr:rowOff>
    </xdr:from>
    <xdr:to>
      <xdr:col>4</xdr:col>
      <xdr:colOff>378000</xdr:colOff>
      <xdr:row>36</xdr:row>
      <xdr:rowOff>346320</xdr:rowOff>
    </xdr:to>
    <xdr:pic>
      <xdr:nvPicPr>
        <xdr:cNvPr id="37" name="Obrázek 4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3499200" y="13984920"/>
          <a:ext cx="378000" cy="3463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42</xdr:row>
      <xdr:rowOff>0</xdr:rowOff>
    </xdr:from>
    <xdr:to>
      <xdr:col>4</xdr:col>
      <xdr:colOff>378000</xdr:colOff>
      <xdr:row>42</xdr:row>
      <xdr:rowOff>372960</xdr:rowOff>
    </xdr:to>
    <xdr:pic>
      <xdr:nvPicPr>
        <xdr:cNvPr id="38" name="Obrázek 42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3499200" y="16419600"/>
          <a:ext cx="378000" cy="3729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46</xdr:row>
      <xdr:rowOff>0</xdr:rowOff>
    </xdr:from>
    <xdr:to>
      <xdr:col>4</xdr:col>
      <xdr:colOff>378000</xdr:colOff>
      <xdr:row>46</xdr:row>
      <xdr:rowOff>363960</xdr:rowOff>
    </xdr:to>
    <xdr:pic>
      <xdr:nvPicPr>
        <xdr:cNvPr id="39" name="Obrázek 39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3499200" y="18042840"/>
          <a:ext cx="378000" cy="3639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37</xdr:row>
      <xdr:rowOff>0</xdr:rowOff>
    </xdr:from>
    <xdr:to>
      <xdr:col>4</xdr:col>
      <xdr:colOff>378000</xdr:colOff>
      <xdr:row>37</xdr:row>
      <xdr:rowOff>378000</xdr:rowOff>
    </xdr:to>
    <xdr:pic>
      <xdr:nvPicPr>
        <xdr:cNvPr id="40" name="Grafik 6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3499200" y="14391000"/>
          <a:ext cx="378000" cy="378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38</xdr:row>
      <xdr:rowOff>0</xdr:rowOff>
    </xdr:from>
    <xdr:to>
      <xdr:col>4</xdr:col>
      <xdr:colOff>378000</xdr:colOff>
      <xdr:row>38</xdr:row>
      <xdr:rowOff>374760</xdr:rowOff>
    </xdr:to>
    <xdr:pic>
      <xdr:nvPicPr>
        <xdr:cNvPr id="41" name="Grafik 8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3499200" y="14796720"/>
          <a:ext cx="378000" cy="3747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40</xdr:row>
      <xdr:rowOff>0</xdr:rowOff>
    </xdr:from>
    <xdr:to>
      <xdr:col>4</xdr:col>
      <xdr:colOff>378000</xdr:colOff>
      <xdr:row>40</xdr:row>
      <xdr:rowOff>376200</xdr:rowOff>
    </xdr:to>
    <xdr:pic>
      <xdr:nvPicPr>
        <xdr:cNvPr id="42" name="Grafik 4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3499200" y="15608160"/>
          <a:ext cx="378000" cy="3762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39</xdr:row>
      <xdr:rowOff>0</xdr:rowOff>
    </xdr:from>
    <xdr:to>
      <xdr:col>4</xdr:col>
      <xdr:colOff>378000</xdr:colOff>
      <xdr:row>39</xdr:row>
      <xdr:rowOff>378720</xdr:rowOff>
    </xdr:to>
    <xdr:pic>
      <xdr:nvPicPr>
        <xdr:cNvPr id="43" name="Grafik 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3499200" y="15202440"/>
          <a:ext cx="378000" cy="3787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99</xdr:row>
      <xdr:rowOff>0</xdr:rowOff>
    </xdr:from>
    <xdr:to>
      <xdr:col>4</xdr:col>
      <xdr:colOff>378000</xdr:colOff>
      <xdr:row>99</xdr:row>
      <xdr:rowOff>310320</xdr:rowOff>
    </xdr:to>
    <xdr:pic>
      <xdr:nvPicPr>
        <xdr:cNvPr id="44" name="Obrázek 44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3499200" y="39548160"/>
          <a:ext cx="378000" cy="3103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103</xdr:row>
      <xdr:rowOff>0</xdr:rowOff>
    </xdr:from>
    <xdr:to>
      <xdr:col>4</xdr:col>
      <xdr:colOff>378000</xdr:colOff>
      <xdr:row>103</xdr:row>
      <xdr:rowOff>337320</xdr:rowOff>
    </xdr:to>
    <xdr:pic>
      <xdr:nvPicPr>
        <xdr:cNvPr id="45" name="Obrázek 47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3499200" y="41171400"/>
          <a:ext cx="378000" cy="3373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25</xdr:col>
      <xdr:colOff>360</xdr:colOff>
      <xdr:row>16</xdr:row>
      <xdr:rowOff>0</xdr:rowOff>
    </xdr:from>
    <xdr:to>
      <xdr:col>25</xdr:col>
      <xdr:colOff>448560</xdr:colOff>
      <xdr:row>16</xdr:row>
      <xdr:rowOff>404640</xdr:rowOff>
    </xdr:to>
    <xdr:pic>
      <xdr:nvPicPr>
        <xdr:cNvPr id="46" name="Grafik 63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21019320" y="5869800"/>
          <a:ext cx="448200" cy="4046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25</xdr:col>
      <xdr:colOff>360</xdr:colOff>
      <xdr:row>42</xdr:row>
      <xdr:rowOff>720</xdr:rowOff>
    </xdr:from>
    <xdr:to>
      <xdr:col>25</xdr:col>
      <xdr:colOff>405360</xdr:colOff>
      <xdr:row>42</xdr:row>
      <xdr:rowOff>405720</xdr:rowOff>
    </xdr:to>
    <xdr:pic>
      <xdr:nvPicPr>
        <xdr:cNvPr id="47" name="Grafik 35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21019320" y="16420320"/>
          <a:ext cx="405000" cy="405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48</xdr:row>
      <xdr:rowOff>0</xdr:rowOff>
    </xdr:from>
    <xdr:to>
      <xdr:col>4</xdr:col>
      <xdr:colOff>378000</xdr:colOff>
      <xdr:row>48</xdr:row>
      <xdr:rowOff>162360</xdr:rowOff>
    </xdr:to>
    <xdr:pic>
      <xdr:nvPicPr>
        <xdr:cNvPr id="48" name="Obrázek 48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3499200" y="18854280"/>
          <a:ext cx="378000" cy="1623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720</xdr:colOff>
      <xdr:row>90</xdr:row>
      <xdr:rowOff>720</xdr:rowOff>
    </xdr:from>
    <xdr:to>
      <xdr:col>4</xdr:col>
      <xdr:colOff>376560</xdr:colOff>
      <xdr:row>90</xdr:row>
      <xdr:rowOff>110160</xdr:rowOff>
    </xdr:to>
    <xdr:pic>
      <xdr:nvPicPr>
        <xdr:cNvPr id="49" name="Obrázek 49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3499920" y="35897040"/>
          <a:ext cx="375840" cy="1094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104</xdr:row>
      <xdr:rowOff>0</xdr:rowOff>
    </xdr:from>
    <xdr:to>
      <xdr:col>4</xdr:col>
      <xdr:colOff>378000</xdr:colOff>
      <xdr:row>104</xdr:row>
      <xdr:rowOff>400320</xdr:rowOff>
    </xdr:to>
    <xdr:pic>
      <xdr:nvPicPr>
        <xdr:cNvPr id="50" name="Obrázek 54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3499200" y="41577120"/>
          <a:ext cx="378000" cy="4003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98</xdr:row>
      <xdr:rowOff>0</xdr:rowOff>
    </xdr:from>
    <xdr:to>
      <xdr:col>4</xdr:col>
      <xdr:colOff>378000</xdr:colOff>
      <xdr:row>98</xdr:row>
      <xdr:rowOff>368640</xdr:rowOff>
    </xdr:to>
    <xdr:pic>
      <xdr:nvPicPr>
        <xdr:cNvPr id="51" name="Obrázek 46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3499200" y="39142440"/>
          <a:ext cx="378000" cy="3686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97</xdr:row>
      <xdr:rowOff>0</xdr:rowOff>
    </xdr:from>
    <xdr:to>
      <xdr:col>4</xdr:col>
      <xdr:colOff>378000</xdr:colOff>
      <xdr:row>97</xdr:row>
      <xdr:rowOff>331560</xdr:rowOff>
    </xdr:to>
    <xdr:pic>
      <xdr:nvPicPr>
        <xdr:cNvPr id="52" name="Obrázek 43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3499200" y="38736720"/>
          <a:ext cx="378000" cy="3315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100</xdr:row>
      <xdr:rowOff>0</xdr:rowOff>
    </xdr:from>
    <xdr:to>
      <xdr:col>4</xdr:col>
      <xdr:colOff>378000</xdr:colOff>
      <xdr:row>100</xdr:row>
      <xdr:rowOff>309240</xdr:rowOff>
    </xdr:to>
    <xdr:pic>
      <xdr:nvPicPr>
        <xdr:cNvPr id="53" name="Obrázek 45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3499200" y="39953880"/>
          <a:ext cx="378000" cy="309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43</xdr:row>
      <xdr:rowOff>0</xdr:rowOff>
    </xdr:from>
    <xdr:to>
      <xdr:col>4</xdr:col>
      <xdr:colOff>378000</xdr:colOff>
      <xdr:row>43</xdr:row>
      <xdr:rowOff>356400</xdr:rowOff>
    </xdr:to>
    <xdr:pic>
      <xdr:nvPicPr>
        <xdr:cNvPr id="54" name="Obrázek 52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3499200" y="16825320"/>
          <a:ext cx="378000" cy="3564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44</xdr:row>
      <xdr:rowOff>0</xdr:rowOff>
    </xdr:from>
    <xdr:to>
      <xdr:col>4</xdr:col>
      <xdr:colOff>378000</xdr:colOff>
      <xdr:row>44</xdr:row>
      <xdr:rowOff>329040</xdr:rowOff>
    </xdr:to>
    <xdr:pic>
      <xdr:nvPicPr>
        <xdr:cNvPr id="55" name="Obrázek 53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3499200" y="17231040"/>
          <a:ext cx="378000" cy="3290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35</xdr:row>
      <xdr:rowOff>0</xdr:rowOff>
    </xdr:from>
    <xdr:to>
      <xdr:col>4</xdr:col>
      <xdr:colOff>378000</xdr:colOff>
      <xdr:row>35</xdr:row>
      <xdr:rowOff>360360</xdr:rowOff>
    </xdr:to>
    <xdr:pic>
      <xdr:nvPicPr>
        <xdr:cNvPr id="56" name="Obrázek 41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3499200" y="13579200"/>
          <a:ext cx="378000" cy="3603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49</xdr:row>
      <xdr:rowOff>0</xdr:rowOff>
    </xdr:from>
    <xdr:to>
      <xdr:col>4</xdr:col>
      <xdr:colOff>378000</xdr:colOff>
      <xdr:row>49</xdr:row>
      <xdr:rowOff>254520</xdr:rowOff>
    </xdr:to>
    <xdr:pic>
      <xdr:nvPicPr>
        <xdr:cNvPr id="57" name="Image 6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3499200" y="19260000"/>
          <a:ext cx="378000" cy="2545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41</xdr:row>
      <xdr:rowOff>0</xdr:rowOff>
    </xdr:from>
    <xdr:to>
      <xdr:col>4</xdr:col>
      <xdr:colOff>378000</xdr:colOff>
      <xdr:row>41</xdr:row>
      <xdr:rowOff>369720</xdr:rowOff>
    </xdr:to>
    <xdr:pic>
      <xdr:nvPicPr>
        <xdr:cNvPr id="58" name="Image 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3499200" y="16013880"/>
          <a:ext cx="378000" cy="3697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33</xdr:row>
      <xdr:rowOff>0</xdr:rowOff>
    </xdr:from>
    <xdr:to>
      <xdr:col>4</xdr:col>
      <xdr:colOff>378000</xdr:colOff>
      <xdr:row>33</xdr:row>
      <xdr:rowOff>371520</xdr:rowOff>
    </xdr:to>
    <xdr:pic>
      <xdr:nvPicPr>
        <xdr:cNvPr id="59" name="Image 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3499200" y="12767760"/>
          <a:ext cx="378000" cy="3715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34</xdr:row>
      <xdr:rowOff>0</xdr:rowOff>
    </xdr:from>
    <xdr:to>
      <xdr:col>4</xdr:col>
      <xdr:colOff>378000</xdr:colOff>
      <xdr:row>34</xdr:row>
      <xdr:rowOff>371520</xdr:rowOff>
    </xdr:to>
    <xdr:pic>
      <xdr:nvPicPr>
        <xdr:cNvPr id="60" name="Image 9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3499200" y="13173480"/>
          <a:ext cx="378000" cy="3715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360</xdr:colOff>
      <xdr:row>63</xdr:row>
      <xdr:rowOff>0</xdr:rowOff>
    </xdr:from>
    <xdr:to>
      <xdr:col>4</xdr:col>
      <xdr:colOff>377640</xdr:colOff>
      <xdr:row>63</xdr:row>
      <xdr:rowOff>169920</xdr:rowOff>
    </xdr:to>
    <xdr:pic>
      <xdr:nvPicPr>
        <xdr:cNvPr id="61" name="Obrázek 32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3499560" y="24940800"/>
          <a:ext cx="377280" cy="1699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360</xdr:colOff>
      <xdr:row>73</xdr:row>
      <xdr:rowOff>360</xdr:rowOff>
    </xdr:from>
    <xdr:to>
      <xdr:col>4</xdr:col>
      <xdr:colOff>377640</xdr:colOff>
      <xdr:row>73</xdr:row>
      <xdr:rowOff>152280</xdr:rowOff>
    </xdr:to>
    <xdr:pic>
      <xdr:nvPicPr>
        <xdr:cNvPr id="62" name="Obrázek 31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3499560" y="28998720"/>
          <a:ext cx="377280" cy="1519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92</xdr:row>
      <xdr:rowOff>0</xdr:rowOff>
    </xdr:from>
    <xdr:to>
      <xdr:col>4</xdr:col>
      <xdr:colOff>378000</xdr:colOff>
      <xdr:row>92</xdr:row>
      <xdr:rowOff>225000</xdr:rowOff>
    </xdr:to>
    <xdr:pic>
      <xdr:nvPicPr>
        <xdr:cNvPr id="63" name="Image 10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3499200" y="36707760"/>
          <a:ext cx="378000" cy="225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360</xdr:colOff>
      <xdr:row>91</xdr:row>
      <xdr:rowOff>0</xdr:rowOff>
    </xdr:from>
    <xdr:to>
      <xdr:col>4</xdr:col>
      <xdr:colOff>378360</xdr:colOff>
      <xdr:row>91</xdr:row>
      <xdr:rowOff>213480</xdr:rowOff>
    </xdr:to>
    <xdr:pic>
      <xdr:nvPicPr>
        <xdr:cNvPr id="64" name="Image 11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 flipH="1">
          <a:off x="3499560" y="36302040"/>
          <a:ext cx="378000" cy="2134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0</xdr:colOff>
      <xdr:row>105</xdr:row>
      <xdr:rowOff>0</xdr:rowOff>
    </xdr:from>
    <xdr:to>
      <xdr:col>4</xdr:col>
      <xdr:colOff>379080</xdr:colOff>
      <xdr:row>105</xdr:row>
      <xdr:rowOff>183600</xdr:rowOff>
    </xdr:to>
    <xdr:pic>
      <xdr:nvPicPr>
        <xdr:cNvPr id="65" name="Image 13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3499200" y="41982840"/>
          <a:ext cx="379080" cy="1836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4</xdr:col>
      <xdr:colOff>720</xdr:colOff>
      <xdr:row>106</xdr:row>
      <xdr:rowOff>0</xdr:rowOff>
    </xdr:from>
    <xdr:to>
      <xdr:col>4</xdr:col>
      <xdr:colOff>378360</xdr:colOff>
      <xdr:row>106</xdr:row>
      <xdr:rowOff>373320</xdr:rowOff>
    </xdr:to>
    <xdr:pic>
      <xdr:nvPicPr>
        <xdr:cNvPr id="66" name="Image 12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3499920" y="42564600"/>
          <a:ext cx="377640" cy="373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20880</xdr:colOff>
      <xdr:row>5</xdr:row>
      <xdr:rowOff>399960</xdr:rowOff>
    </xdr:from>
    <xdr:to>
      <xdr:col>3</xdr:col>
      <xdr:colOff>994680</xdr:colOff>
      <xdr:row>7</xdr:row>
      <xdr:rowOff>23040</xdr:rowOff>
    </xdr:to>
    <xdr:pic>
      <xdr:nvPicPr>
        <xdr:cNvPr id="65" name="Image 1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890800" y="1352880"/>
          <a:ext cx="973800" cy="4892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3</xdr:col>
      <xdr:colOff>199080</xdr:colOff>
      <xdr:row>7</xdr:row>
      <xdr:rowOff>6480</xdr:rowOff>
    </xdr:from>
    <xdr:to>
      <xdr:col>3</xdr:col>
      <xdr:colOff>789480</xdr:colOff>
      <xdr:row>7</xdr:row>
      <xdr:rowOff>519480</xdr:rowOff>
    </xdr:to>
    <xdr:pic>
      <xdr:nvPicPr>
        <xdr:cNvPr id="66" name="Image 2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069000" y="1825560"/>
          <a:ext cx="590400" cy="5130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3</xdr:col>
      <xdr:colOff>720</xdr:colOff>
      <xdr:row>8</xdr:row>
      <xdr:rowOff>1080</xdr:rowOff>
    </xdr:from>
    <xdr:to>
      <xdr:col>3</xdr:col>
      <xdr:colOff>832680</xdr:colOff>
      <xdr:row>8</xdr:row>
      <xdr:rowOff>407160</xdr:rowOff>
    </xdr:to>
    <xdr:pic>
      <xdr:nvPicPr>
        <xdr:cNvPr id="67" name="Image 3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70640" y="2361240"/>
          <a:ext cx="831960" cy="4060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3</xdr:col>
      <xdr:colOff>11520</xdr:colOff>
      <xdr:row>9</xdr:row>
      <xdr:rowOff>3960</xdr:rowOff>
    </xdr:from>
    <xdr:to>
      <xdr:col>3</xdr:col>
      <xdr:colOff>1037160</xdr:colOff>
      <xdr:row>9</xdr:row>
      <xdr:rowOff>519120</xdr:rowOff>
    </xdr:to>
    <xdr:pic>
      <xdr:nvPicPr>
        <xdr:cNvPr id="68" name="Image 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2881440" y="2776680"/>
          <a:ext cx="1025640" cy="5151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3</xdr:col>
      <xdr:colOff>12600</xdr:colOff>
      <xdr:row>10</xdr:row>
      <xdr:rowOff>9360</xdr:rowOff>
    </xdr:from>
    <xdr:to>
      <xdr:col>3</xdr:col>
      <xdr:colOff>1031760</xdr:colOff>
      <xdr:row>10</xdr:row>
      <xdr:rowOff>518760</xdr:rowOff>
    </xdr:to>
    <xdr:pic>
      <xdr:nvPicPr>
        <xdr:cNvPr id="69" name="Image 5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2882520" y="3323160"/>
          <a:ext cx="1019160" cy="509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21600</xdr:colOff>
      <xdr:row>2</xdr:row>
      <xdr:rowOff>41400</xdr:rowOff>
    </xdr:from>
    <xdr:to>
      <xdr:col>1</xdr:col>
      <xdr:colOff>362880</xdr:colOff>
      <xdr:row>2</xdr:row>
      <xdr:rowOff>268200</xdr:rowOff>
    </xdr:to>
    <xdr:pic>
      <xdr:nvPicPr>
        <xdr:cNvPr id="70" name="https://lh5.googleusercontent.com/uWyy_2DLaH5BDPHVJmzf_2PGaPe3Ba7TYNST3o4rcuR_pdTi6kDzVrjIvtWdQdJ3jke1d_sUYLb4Oe6Qj4-1o9TTfqTppRsgDE9Adb3T5dhk7cV3Sx_ktApou6OIxDN5ItWB0zlL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1000" y="622800"/>
          <a:ext cx="341280" cy="2268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28440</xdr:colOff>
      <xdr:row>3</xdr:row>
      <xdr:rowOff>14760</xdr:rowOff>
    </xdr:from>
    <xdr:to>
      <xdr:col>1</xdr:col>
      <xdr:colOff>379080</xdr:colOff>
      <xdr:row>3</xdr:row>
      <xdr:rowOff>298800</xdr:rowOff>
    </xdr:to>
    <xdr:pic>
      <xdr:nvPicPr>
        <xdr:cNvPr id="71" name="https://lh6.googleusercontent.com/OgB8RBIzOTZZ7fVXM_1ZzmbyKgMbpK3QvSO8LAJ6BZTY64qQWC0yv3s5ZfWzfRWXVOKVLdR7NqdJUPdcx2ytFJFSafl5unYgWzi_ln2o1qKbKRzxivJMKmuhdLT_5FvXtHpNa2sK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47840" y="947880"/>
          <a:ext cx="350640" cy="2840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42480</xdr:colOff>
      <xdr:row>4</xdr:row>
      <xdr:rowOff>19080</xdr:rowOff>
    </xdr:from>
    <xdr:to>
      <xdr:col>1</xdr:col>
      <xdr:colOff>459720</xdr:colOff>
      <xdr:row>4</xdr:row>
      <xdr:rowOff>303120</xdr:rowOff>
    </xdr:to>
    <xdr:pic>
      <xdr:nvPicPr>
        <xdr:cNvPr id="72" name="https://lh5.googleusercontent.com/p0DGxhW5EZ9ApYMJr_L3yBP5pbfA7Eb5KF1P78lNRi5cxtL7zCeu50DteV31MOubQSbspAgeej5a2GE6A73djt9QBk8I36NrYb0BVV98DHiwyHmmKzM2SKeKAUQUouLJENje4dPi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61880" y="1304280"/>
          <a:ext cx="417240" cy="2840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35640</xdr:colOff>
      <xdr:row>5</xdr:row>
      <xdr:rowOff>15480</xdr:rowOff>
    </xdr:from>
    <xdr:to>
      <xdr:col>1</xdr:col>
      <xdr:colOff>395640</xdr:colOff>
      <xdr:row>5</xdr:row>
      <xdr:rowOff>299520</xdr:rowOff>
    </xdr:to>
    <xdr:sp macro="" textlink="">
      <xdr:nvSpPr>
        <xdr:cNvPr id="73" name="https://lh6.googleusercontent.com/zPW-X8wohk8DF1kKoauZU925dd9fxkdJnl9r_OfP9BO7cj1C5AtGUUDLK8gDwUM4wvBc-lAV9iSkz7Seczzr9koCEnVUjNvZCGhk5hZyMZ8Gm4YvTu_knNmZ3l1kba2hcQ4R0pGs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SpPr/>
      </xdr:nvSpPr>
      <xdr:spPr>
        <a:xfrm>
          <a:off x="455040" y="1652400"/>
          <a:ext cx="360000" cy="284040"/>
        </a:xfrm>
        <a:prstGeom prst="rect">
          <a:avLst/>
        </a:prstGeom>
        <a:blipFill rotWithShape="0">
          <a:blip xmlns:r="http://schemas.openxmlformats.org/officeDocument/2006/relationships" r:embed="rId4"/>
          <a:srcRect/>
          <a:stretch/>
        </a:blipFill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0" tIns="0" rIns="0" bIns="0" anchor="ctr" anchorCtr="1">
          <a:noAutofit/>
        </a:bodyPr>
        <a:lstStyle/>
        <a:p>
          <a:pPr algn="ctr">
            <a:lnSpc>
              <a:spcPct val="100000"/>
            </a:lnSpc>
          </a:pPr>
          <a:r>
            <a:rPr lang="cs-CZ" sz="1200" b="0" strike="noStrike" spc="-1">
              <a:latin typeface="Times New Roman"/>
            </a:rPr>
            <a:t>;</a:t>
          </a:r>
        </a:p>
      </xdr:txBody>
    </xdr:sp>
    <xdr:clientData/>
  </xdr:twoCellAnchor>
  <xdr:twoCellAnchor>
    <xdr:from>
      <xdr:col>1</xdr:col>
      <xdr:colOff>49680</xdr:colOff>
      <xdr:row>6</xdr:row>
      <xdr:rowOff>41400</xdr:rowOff>
    </xdr:from>
    <xdr:to>
      <xdr:col>1</xdr:col>
      <xdr:colOff>428760</xdr:colOff>
      <xdr:row>6</xdr:row>
      <xdr:rowOff>268200</xdr:rowOff>
    </xdr:to>
    <xdr:pic>
      <xdr:nvPicPr>
        <xdr:cNvPr id="74" name="https://lh6.googleusercontent.com/MnqTw6WISUKiUtchTKimHmYtX2T7XW3_A3QbN6E5L0Wbr-3FPSN1uNWPrOnfNy8swE3hD9Q7kZqJ-Uwwqye87XhqvEZ6LJziDOJdAdN4sUKHe1QUy32T_WjbeQwIUzwNrdMbhkd0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69080" y="2030040"/>
          <a:ext cx="379080" cy="2268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49680</xdr:colOff>
      <xdr:row>6</xdr:row>
      <xdr:rowOff>339120</xdr:rowOff>
    </xdr:from>
    <xdr:to>
      <xdr:col>1</xdr:col>
      <xdr:colOff>335520</xdr:colOff>
      <xdr:row>7</xdr:row>
      <xdr:rowOff>310320</xdr:rowOff>
    </xdr:to>
    <xdr:pic>
      <xdr:nvPicPr>
        <xdr:cNvPr id="75" name="https://lh6.googleusercontent.com/H9taV36mMRexmLys8oQ9vRIA7IVqn1RYFSoG1uZu0q2gUqrPp-JJJUnLyWRQRE_Y1bstO4g5hDK5EQCB1Fo6Yh7GZ2sq6OuQgbOz64UbgcDn5gxAzeoyCAy9QcRRh3_E3YTkRT-l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469080" y="2327760"/>
          <a:ext cx="285840" cy="3229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49680</xdr:colOff>
      <xdr:row>8</xdr:row>
      <xdr:rowOff>14040</xdr:rowOff>
    </xdr:from>
    <xdr:to>
      <xdr:col>1</xdr:col>
      <xdr:colOff>400320</xdr:colOff>
      <xdr:row>8</xdr:row>
      <xdr:rowOff>259920</xdr:rowOff>
    </xdr:to>
    <xdr:pic>
      <xdr:nvPicPr>
        <xdr:cNvPr id="76" name="https://lh4.googleusercontent.com/MTS0KNIwNj2iT65sbzeRS0Cd_X_lpsaVkjH94fD3KXpJuWxZYZmiYl3utbilnJmw5XIe4dg200YW27zPzPq2s2op4ZYvkI1SExNz6HFGVwJKzdMPRqJpIEthM4LJDBCaXdHb6AFC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469080" y="2706120"/>
          <a:ext cx="350640" cy="24588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56520</xdr:colOff>
      <xdr:row>9</xdr:row>
      <xdr:rowOff>66240</xdr:rowOff>
    </xdr:from>
    <xdr:to>
      <xdr:col>1</xdr:col>
      <xdr:colOff>407160</xdr:colOff>
      <xdr:row>9</xdr:row>
      <xdr:rowOff>302400</xdr:rowOff>
    </xdr:to>
    <xdr:pic>
      <xdr:nvPicPr>
        <xdr:cNvPr id="77" name="https://lh4.googleusercontent.com/bkDk4MrqltesAstVmvGnYgTYoMKqQ03exXkvV3OVxKC-VhQNjOo87_U5Dxw_DTWf9UHUPSzSNGKqa89fMZp1YArgFt1Q9qdMXF0n-mYYnwHcUpfMNwkwLEy1gGIuNs_YvrX_mZse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475920" y="3110400"/>
          <a:ext cx="350640" cy="2361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49680</xdr:colOff>
      <xdr:row>9</xdr:row>
      <xdr:rowOff>350280</xdr:rowOff>
    </xdr:from>
    <xdr:to>
      <xdr:col>1</xdr:col>
      <xdr:colOff>377640</xdr:colOff>
      <xdr:row>10</xdr:row>
      <xdr:rowOff>324720</xdr:rowOff>
    </xdr:to>
    <xdr:pic>
      <xdr:nvPicPr>
        <xdr:cNvPr id="78" name="https://lh6.googleusercontent.com/VwOz4bzm1vLaT-bi6QdkpgFxp2CaXLfz_-DbOQ97smK7cQ4-1urbdUdjNObEbIu2xNHOoAZRBwzZduYhbBUJl6owKiAPTVlmmnewD1eckdVTZmfBgMyqeQUqi5S0PBijTcqhMrIa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469080" y="3394440"/>
          <a:ext cx="327960" cy="32616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56520</xdr:colOff>
      <xdr:row>11</xdr:row>
      <xdr:rowOff>4320</xdr:rowOff>
    </xdr:from>
    <xdr:to>
      <xdr:col>1</xdr:col>
      <xdr:colOff>369000</xdr:colOff>
      <xdr:row>11</xdr:row>
      <xdr:rowOff>307440</xdr:rowOff>
    </xdr:to>
    <xdr:pic>
      <xdr:nvPicPr>
        <xdr:cNvPr id="79" name="https://lh3.googleusercontent.com/0u4Cr3_qk93c9kHsxoP-DrYVyXjy9DWOmfRQI5zX0ukMZCMu_4YNGVhiD1UBEFfUfzbqVMDLKa8abXdVU74wX2jZyctaasL1XnwFtokfTrrrS5goDuivnUkBFjy7rZi6kSY0yTT5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475920" y="3751920"/>
          <a:ext cx="312480" cy="30312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70560</xdr:colOff>
      <xdr:row>12</xdr:row>
      <xdr:rowOff>22680</xdr:rowOff>
    </xdr:from>
    <xdr:to>
      <xdr:col>1</xdr:col>
      <xdr:colOff>383040</xdr:colOff>
      <xdr:row>12</xdr:row>
      <xdr:rowOff>316080</xdr:rowOff>
    </xdr:to>
    <xdr:pic>
      <xdr:nvPicPr>
        <xdr:cNvPr id="80" name="https://lh3.googleusercontent.com/TJkIB9ON_EPKiHvFcLrhi3aZpn-mmontMc4Ucx5DWYXK6sVlBBrxkuUcz3LxSUrLp2Z32dXtw9UOi8kxXU7CeLwHqYRiPTGi1uvK4QpY6plxUuf_VeBP5BENUPNkhD3uODAytgi4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489960" y="4122000"/>
          <a:ext cx="312480" cy="29340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70920</xdr:colOff>
      <xdr:row>13</xdr:row>
      <xdr:rowOff>27360</xdr:rowOff>
    </xdr:from>
    <xdr:to>
      <xdr:col>1</xdr:col>
      <xdr:colOff>383400</xdr:colOff>
      <xdr:row>13</xdr:row>
      <xdr:rowOff>311400</xdr:rowOff>
    </xdr:to>
    <xdr:pic>
      <xdr:nvPicPr>
        <xdr:cNvPr id="81" name="https://lh3.googleusercontent.com/yrdh17ppO-WtagfQ686HQOot130FzSqI7EjKQl35WNiqVq_CQt6c9hexH9Quue181iwzqI4St26CRy_tuf91JC2OsBM7QpbRTapMDRnQdOVwlqNLd3PwjuZ_tghAjfud0KgXaTeC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490320" y="4478400"/>
          <a:ext cx="312480" cy="284040"/>
        </a:xfrm>
        <a:prstGeom prst="rect">
          <a:avLst/>
        </a:prstGeom>
        <a:ln w="0">
          <a:noFill/>
        </a:ln>
      </xdr:spPr>
    </xdr:pic>
    <xdr:clientData/>
  </xdr:twoCellAnchor>
  <xdr:twoCellAnchor>
    <xdr:from>
      <xdr:col>1</xdr:col>
      <xdr:colOff>64080</xdr:colOff>
      <xdr:row>14</xdr:row>
      <xdr:rowOff>29880</xdr:rowOff>
    </xdr:from>
    <xdr:to>
      <xdr:col>1</xdr:col>
      <xdr:colOff>376560</xdr:colOff>
      <xdr:row>14</xdr:row>
      <xdr:rowOff>304200</xdr:rowOff>
    </xdr:to>
    <xdr:pic>
      <xdr:nvPicPr>
        <xdr:cNvPr id="82" name="https://lh3.googleusercontent.com/JeGS0_BwLhBq_LkMA9rUqn-xit_YQC1J1AEAVo1yvJUM8981vypbRWW70JeEspRxJuuWR_kCT5GEP2Zl9w_cJ-Ig9E6Cr9x1zAojAfQ3O6xfujL1QMQN8AGV64Q_mX6ERqIsIVNS">
          <a:extLst>
            <a:ext uri="{FF2B5EF4-FFF2-40B4-BE49-F238E27FC236}">
              <a16:creationId xmlns:a16="http://schemas.microsoft.com/office/drawing/2014/main" id="{00000000-0008-0000-0500-000052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483480" y="4833000"/>
          <a:ext cx="312480" cy="274320"/>
        </a:xfrm>
        <a:prstGeom prst="rect">
          <a:avLst/>
        </a:prstGeom>
        <a:ln w="0">
          <a:noFill/>
        </a:ln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7"/>
  <sheetViews>
    <sheetView tabSelected="1" zoomScale="110" zoomScaleNormal="110" workbookViewId="0">
      <selection activeCell="D31" sqref="D31"/>
    </sheetView>
  </sheetViews>
  <sheetFormatPr defaultColWidth="11.5703125" defaultRowHeight="12.75" x14ac:dyDescent="0.2"/>
  <cols>
    <col min="2" max="2" width="10.28515625" customWidth="1"/>
    <col min="3" max="3" width="18.85546875" customWidth="1"/>
    <col min="4" max="4" width="64.28515625" customWidth="1"/>
  </cols>
  <sheetData>
    <row r="2" spans="2:5" ht="30.75" customHeight="1" x14ac:dyDescent="0.2">
      <c r="B2" s="67" t="s">
        <v>535</v>
      </c>
      <c r="C2" s="67"/>
      <c r="D2" s="67"/>
    </row>
    <row r="3" spans="2:5" s="62" customFormat="1" ht="47.25" customHeight="1" x14ac:dyDescent="0.2">
      <c r="B3" s="68" t="s">
        <v>536</v>
      </c>
      <c r="C3" s="68"/>
      <c r="D3" s="68"/>
    </row>
    <row r="4" spans="2:5" s="62" customFormat="1" ht="15.75" x14ac:dyDescent="0.2">
      <c r="B4" s="68" t="s">
        <v>534</v>
      </c>
      <c r="C4" s="68"/>
      <c r="D4" s="68"/>
    </row>
    <row r="5" spans="2:5" s="62" customFormat="1" x14ac:dyDescent="0.2">
      <c r="B5" s="69"/>
      <c r="C5" s="69"/>
      <c r="D5" s="69"/>
    </row>
    <row r="6" spans="2:5" s="62" customFormat="1" ht="47.25" customHeight="1" x14ac:dyDescent="0.2">
      <c r="B6" s="68" t="s">
        <v>537</v>
      </c>
      <c r="C6" s="68"/>
      <c r="D6" s="68"/>
    </row>
    <row r="7" spans="2:5" ht="15.75" x14ac:dyDescent="0.2">
      <c r="B7" s="70"/>
      <c r="C7" s="70"/>
      <c r="D7" s="71"/>
    </row>
    <row r="8" spans="2:5" ht="15.75" x14ac:dyDescent="0.25">
      <c r="B8" s="72" t="s">
        <v>538</v>
      </c>
      <c r="C8" s="73" t="s">
        <v>471</v>
      </c>
      <c r="D8" s="74"/>
    </row>
    <row r="9" spans="2:5" ht="15.75" x14ac:dyDescent="0.2">
      <c r="B9" s="75" t="s">
        <v>541</v>
      </c>
      <c r="C9" s="76" t="s">
        <v>543</v>
      </c>
      <c r="D9" s="77"/>
    </row>
    <row r="10" spans="2:5" ht="15.75" x14ac:dyDescent="0.2">
      <c r="B10" s="72" t="s">
        <v>542</v>
      </c>
      <c r="C10" s="76" t="s">
        <v>540</v>
      </c>
      <c r="D10" s="77"/>
    </row>
    <row r="11" spans="2:5" ht="15.75" x14ac:dyDescent="0.2">
      <c r="B11" s="78"/>
      <c r="C11" s="78"/>
      <c r="D11" s="71"/>
      <c r="E11" s="64"/>
    </row>
    <row r="12" spans="2:5" s="63" customFormat="1" ht="15.75" x14ac:dyDescent="0.25">
      <c r="B12" s="79" t="s">
        <v>539</v>
      </c>
      <c r="C12" s="79"/>
      <c r="D12" s="80" t="s">
        <v>471</v>
      </c>
      <c r="E12" s="65"/>
    </row>
    <row r="13" spans="2:5" s="63" customFormat="1" ht="15.75" x14ac:dyDescent="0.2">
      <c r="B13" s="79" t="s">
        <v>544</v>
      </c>
      <c r="C13" s="79"/>
      <c r="D13" s="81" t="s">
        <v>548</v>
      </c>
      <c r="E13" s="66"/>
    </row>
    <row r="14" spans="2:5" s="63" customFormat="1" ht="15.75" x14ac:dyDescent="0.2">
      <c r="B14" s="79" t="s">
        <v>545</v>
      </c>
      <c r="C14" s="79"/>
      <c r="D14" s="81" t="s">
        <v>549</v>
      </c>
      <c r="E14" s="65"/>
    </row>
    <row r="15" spans="2:5" s="63" customFormat="1" ht="15.75" x14ac:dyDescent="0.2">
      <c r="B15" s="79" t="s">
        <v>550</v>
      </c>
      <c r="C15" s="79"/>
      <c r="D15" s="81" t="s">
        <v>551</v>
      </c>
      <c r="E15" s="65"/>
    </row>
    <row r="16" spans="2:5" s="63" customFormat="1" ht="15.75" x14ac:dyDescent="0.2">
      <c r="B16" s="79" t="s">
        <v>546</v>
      </c>
      <c r="C16" s="79"/>
      <c r="D16" s="81" t="s">
        <v>552</v>
      </c>
    </row>
    <row r="17" spans="2:4" s="63" customFormat="1" ht="15.75" x14ac:dyDescent="0.2">
      <c r="B17" s="79" t="s">
        <v>547</v>
      </c>
      <c r="C17" s="79"/>
      <c r="D17" s="81" t="s">
        <v>553</v>
      </c>
    </row>
  </sheetData>
  <mergeCells count="13">
    <mergeCell ref="B17:C17"/>
    <mergeCell ref="B12:C12"/>
    <mergeCell ref="B2:D2"/>
    <mergeCell ref="C9:D9"/>
    <mergeCell ref="C10:D10"/>
    <mergeCell ref="B13:C13"/>
    <mergeCell ref="B14:C14"/>
    <mergeCell ref="B15:C15"/>
    <mergeCell ref="B16:C16"/>
    <mergeCell ref="B3:D3"/>
    <mergeCell ref="B4:D4"/>
    <mergeCell ref="B6:D6"/>
    <mergeCell ref="C8:D8"/>
  </mergeCells>
  <phoneticPr fontId="20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Roman,obyčejné"&amp;12&amp;A</oddHeader>
    <oddFooter>&amp;C&amp;"Times New Roman,obyčejné"&amp;12Page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0"/>
  <sheetViews>
    <sheetView zoomScale="140" zoomScaleNormal="140" workbookViewId="0">
      <pane xSplit="4" ySplit="6" topLeftCell="E12" activePane="bottomRight" state="frozen"/>
      <selection pane="topRight" activeCell="E1" sqref="E1"/>
      <selection pane="bottomLeft" activeCell="A98" sqref="A98"/>
      <selection pane="bottomRight" activeCell="F113" sqref="F113"/>
    </sheetView>
  </sheetViews>
  <sheetFormatPr defaultColWidth="11.5703125" defaultRowHeight="12.75" x14ac:dyDescent="0.2"/>
  <cols>
    <col min="1" max="1" width="5" style="15" customWidth="1"/>
    <col min="2" max="2" width="8.28515625" style="16" customWidth="1"/>
    <col min="3" max="3" width="20.5703125" style="17" customWidth="1"/>
    <col min="4" max="4" width="15.85546875" style="17" customWidth="1"/>
    <col min="5" max="5" width="5.42578125" style="16" customWidth="1"/>
    <col min="6" max="6" width="11" style="16" customWidth="1"/>
    <col min="7" max="7" width="6" style="16" customWidth="1"/>
    <col min="8" max="8" width="5.28515625" style="16" customWidth="1"/>
    <col min="9" max="9" width="9.42578125" style="16" customWidth="1"/>
    <col min="10" max="10" width="12.28515625" style="16" customWidth="1"/>
    <col min="11" max="11" width="12.7109375" style="16" customWidth="1"/>
    <col min="12" max="12" width="14.140625" style="16" customWidth="1"/>
    <col min="13" max="13" width="8.28515625" style="16" customWidth="1"/>
    <col min="14" max="14" width="8.85546875" style="16" customWidth="1"/>
    <col min="15" max="15" width="6.7109375" style="16" customWidth="1"/>
    <col min="16" max="16" width="13.28515625" style="16" customWidth="1"/>
    <col min="17" max="17" width="12.7109375" style="16" customWidth="1"/>
    <col min="18" max="18" width="10.7109375" style="16" customWidth="1"/>
    <col min="19" max="19" width="13.42578125" style="16" customWidth="1"/>
    <col min="20" max="20" width="12.7109375" style="16" customWidth="1"/>
    <col min="21" max="21" width="12.42578125" style="16" customWidth="1"/>
    <col min="22" max="22" width="15.7109375" style="16" customWidth="1"/>
    <col min="23" max="23" width="11.42578125" style="16" customWidth="1"/>
    <col min="24" max="24" width="13.5703125" style="16" customWidth="1"/>
    <col min="25" max="25" width="32.28515625" style="16" customWidth="1"/>
    <col min="26" max="1024" width="11.5703125" style="16"/>
  </cols>
  <sheetData>
    <row r="1" spans="1:28" ht="12.75" customHeight="1" x14ac:dyDescent="0.2">
      <c r="A1" s="14" t="s">
        <v>0</v>
      </c>
      <c r="B1" s="13" t="s">
        <v>1</v>
      </c>
      <c r="C1" s="12" t="s">
        <v>2</v>
      </c>
      <c r="D1" s="11" t="s">
        <v>3</v>
      </c>
      <c r="E1" s="10" t="s">
        <v>4</v>
      </c>
      <c r="F1" s="9" t="s">
        <v>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8" t="s">
        <v>6</v>
      </c>
      <c r="Z1" s="8" t="s">
        <v>7</v>
      </c>
      <c r="AA1" s="7" t="s">
        <v>8</v>
      </c>
      <c r="AB1" s="7"/>
    </row>
    <row r="2" spans="1:28" ht="12.75" customHeight="1" x14ac:dyDescent="0.2">
      <c r="A2" s="14"/>
      <c r="B2" s="13"/>
      <c r="C2" s="12"/>
      <c r="D2" s="12"/>
      <c r="E2" s="10"/>
      <c r="F2" s="9" t="s">
        <v>9</v>
      </c>
      <c r="G2" s="6" t="s">
        <v>10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8"/>
      <c r="Z2" s="8"/>
      <c r="AA2" s="7"/>
      <c r="AB2" s="7"/>
    </row>
    <row r="3" spans="1:28" ht="23.45" customHeight="1" x14ac:dyDescent="0.2">
      <c r="A3" s="14"/>
      <c r="B3" s="13"/>
      <c r="C3" s="12"/>
      <c r="D3" s="12"/>
      <c r="E3" s="10"/>
      <c r="F3" s="10"/>
      <c r="G3" s="6" t="s">
        <v>11</v>
      </c>
      <c r="H3" s="6" t="s">
        <v>12</v>
      </c>
      <c r="I3" s="5" t="s">
        <v>13</v>
      </c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23" t="s">
        <v>14</v>
      </c>
      <c r="W3" s="4" t="s">
        <v>15</v>
      </c>
      <c r="X3" s="4"/>
      <c r="Y3" s="8"/>
      <c r="Z3" s="8"/>
      <c r="AA3" s="7"/>
      <c r="AB3" s="7"/>
    </row>
    <row r="4" spans="1:28" ht="12.75" customHeight="1" x14ac:dyDescent="0.2">
      <c r="A4" s="14"/>
      <c r="B4" s="13"/>
      <c r="C4" s="12"/>
      <c r="D4" s="12"/>
      <c r="E4" s="10"/>
      <c r="F4" s="10"/>
      <c r="G4" s="10"/>
      <c r="H4" s="10"/>
      <c r="I4" s="5" t="s">
        <v>1</v>
      </c>
      <c r="J4" s="5" t="s">
        <v>16</v>
      </c>
      <c r="K4" s="5" t="s">
        <v>17</v>
      </c>
      <c r="L4" s="3" t="s">
        <v>18</v>
      </c>
      <c r="M4" s="3"/>
      <c r="N4" s="2" t="s">
        <v>19</v>
      </c>
      <c r="O4" s="5" t="s">
        <v>20</v>
      </c>
      <c r="P4" s="1" t="s">
        <v>21</v>
      </c>
      <c r="Q4" s="1"/>
      <c r="R4" s="1"/>
      <c r="S4" s="1" t="s">
        <v>22</v>
      </c>
      <c r="T4" s="1"/>
      <c r="U4" s="1"/>
      <c r="V4" s="55" t="s">
        <v>19</v>
      </c>
      <c r="W4" s="4" t="s">
        <v>23</v>
      </c>
      <c r="X4" s="4" t="s">
        <v>19</v>
      </c>
      <c r="Y4" s="8"/>
      <c r="Z4" s="8"/>
      <c r="AA4" s="7"/>
      <c r="AB4" s="7"/>
    </row>
    <row r="5" spans="1:28" ht="38.25" x14ac:dyDescent="0.2">
      <c r="A5" s="14"/>
      <c r="B5" s="13"/>
      <c r="C5" s="12"/>
      <c r="D5" s="12"/>
      <c r="E5" s="10"/>
      <c r="F5" s="10"/>
      <c r="G5" s="10"/>
      <c r="H5" s="10"/>
      <c r="I5" s="5"/>
      <c r="J5" s="5"/>
      <c r="K5" s="5"/>
      <c r="L5" s="24" t="s">
        <v>24</v>
      </c>
      <c r="M5" s="24" t="s">
        <v>25</v>
      </c>
      <c r="N5" s="2"/>
      <c r="O5" s="2"/>
      <c r="P5" s="25" t="s">
        <v>26</v>
      </c>
      <c r="Q5" s="25" t="s">
        <v>27</v>
      </c>
      <c r="R5" s="25" t="s">
        <v>28</v>
      </c>
      <c r="S5" s="25" t="s">
        <v>26</v>
      </c>
      <c r="T5" s="25" t="s">
        <v>27</v>
      </c>
      <c r="U5" s="25" t="s">
        <v>28</v>
      </c>
      <c r="V5" s="55"/>
      <c r="W5" s="4"/>
      <c r="X5" s="4"/>
      <c r="Y5" s="8"/>
      <c r="Z5" s="8"/>
      <c r="AA5" s="7"/>
      <c r="AB5" s="7"/>
    </row>
    <row r="6" spans="1:28" s="29" customFormat="1" ht="38.25" x14ac:dyDescent="0.2">
      <c r="A6" s="26" t="s">
        <v>29</v>
      </c>
      <c r="B6" s="27" t="s">
        <v>30</v>
      </c>
      <c r="C6" s="28" t="s">
        <v>31</v>
      </c>
      <c r="D6" s="28" t="s">
        <v>31</v>
      </c>
      <c r="E6" s="27" t="s">
        <v>31</v>
      </c>
      <c r="F6" s="27" t="s">
        <v>32</v>
      </c>
      <c r="G6" s="27" t="s">
        <v>33</v>
      </c>
      <c r="H6" s="27" t="s">
        <v>33</v>
      </c>
      <c r="I6" s="27" t="s">
        <v>30</v>
      </c>
      <c r="J6" s="27" t="s">
        <v>33</v>
      </c>
      <c r="K6" s="27" t="s">
        <v>34</v>
      </c>
      <c r="L6" s="27" t="s">
        <v>35</v>
      </c>
      <c r="M6" s="27" t="s">
        <v>36</v>
      </c>
      <c r="N6" s="27" t="s">
        <v>37</v>
      </c>
      <c r="O6" s="27" t="s">
        <v>33</v>
      </c>
      <c r="P6" s="27" t="s">
        <v>38</v>
      </c>
      <c r="Q6" s="27" t="s">
        <v>39</v>
      </c>
      <c r="R6" s="27" t="s">
        <v>40</v>
      </c>
      <c r="S6" s="27" t="s">
        <v>38</v>
      </c>
      <c r="T6" s="27" t="s">
        <v>39</v>
      </c>
      <c r="U6" s="27" t="s">
        <v>40</v>
      </c>
      <c r="V6" s="27" t="s">
        <v>41</v>
      </c>
      <c r="W6" s="27" t="s">
        <v>30</v>
      </c>
      <c r="X6" s="27" t="s">
        <v>42</v>
      </c>
      <c r="Y6" s="27" t="s">
        <v>31</v>
      </c>
      <c r="Z6" s="27" t="s">
        <v>31</v>
      </c>
      <c r="AA6" s="27" t="s">
        <v>35</v>
      </c>
      <c r="AB6" s="27" t="s">
        <v>36</v>
      </c>
    </row>
    <row r="7" spans="1:28" ht="31.9" customHeight="1" x14ac:dyDescent="0.2">
      <c r="A7" s="30">
        <v>35</v>
      </c>
      <c r="B7" s="31" t="s">
        <v>43</v>
      </c>
      <c r="C7" s="32" t="s">
        <v>44</v>
      </c>
      <c r="D7" s="32"/>
      <c r="E7" s="20"/>
      <c r="F7" s="20" t="s">
        <v>45</v>
      </c>
      <c r="G7" s="20" t="s">
        <v>46</v>
      </c>
      <c r="H7" s="20" t="s">
        <v>46</v>
      </c>
      <c r="I7" s="20" t="str">
        <f t="shared" ref="I7:I38" si="0">B7</f>
        <v>A12a</v>
      </c>
      <c r="J7" s="20" t="s">
        <v>47</v>
      </c>
      <c r="K7" s="20" t="s">
        <v>48</v>
      </c>
      <c r="L7" s="20" t="s">
        <v>49</v>
      </c>
      <c r="M7" s="20">
        <v>248</v>
      </c>
      <c r="N7" s="20"/>
      <c r="O7" s="20" t="s">
        <v>47</v>
      </c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 t="s">
        <v>49</v>
      </c>
      <c r="AB7" s="20">
        <v>248</v>
      </c>
    </row>
    <row r="8" spans="1:28" ht="31.9" customHeight="1" x14ac:dyDescent="0.2">
      <c r="A8" s="30">
        <v>30</v>
      </c>
      <c r="B8" s="31" t="s">
        <v>50</v>
      </c>
      <c r="C8" s="32" t="s">
        <v>51</v>
      </c>
      <c r="D8" s="32"/>
      <c r="E8" s="20"/>
      <c r="F8" s="20" t="s">
        <v>45</v>
      </c>
      <c r="G8" s="20" t="s">
        <v>46</v>
      </c>
      <c r="H8" s="20" t="s">
        <v>46</v>
      </c>
      <c r="I8" s="20" t="str">
        <f t="shared" si="0"/>
        <v>A13</v>
      </c>
      <c r="J8" s="20" t="s">
        <v>47</v>
      </c>
      <c r="K8" s="20" t="s">
        <v>48</v>
      </c>
      <c r="L8" s="20" t="s">
        <v>49</v>
      </c>
      <c r="M8" s="20">
        <v>364</v>
      </c>
      <c r="N8" s="20"/>
      <c r="O8" s="20" t="s">
        <v>47</v>
      </c>
      <c r="P8" s="20"/>
      <c r="Q8" s="20"/>
      <c r="R8" s="20"/>
      <c r="S8" s="20"/>
      <c r="T8" s="20"/>
      <c r="U8" s="20"/>
      <c r="V8" s="20"/>
      <c r="W8" s="20"/>
      <c r="X8" s="20"/>
      <c r="Y8" s="20"/>
      <c r="Z8" s="20">
        <v>145.239</v>
      </c>
      <c r="AA8" s="20" t="s">
        <v>49</v>
      </c>
      <c r="AB8" s="20">
        <v>364</v>
      </c>
    </row>
    <row r="9" spans="1:28" ht="31.9" customHeight="1" x14ac:dyDescent="0.2">
      <c r="A9" s="30">
        <v>31</v>
      </c>
      <c r="B9" s="31" t="s">
        <v>52</v>
      </c>
      <c r="C9" s="32" t="s">
        <v>51</v>
      </c>
      <c r="D9" s="32"/>
      <c r="E9" s="20"/>
      <c r="F9" s="20" t="s">
        <v>45</v>
      </c>
      <c r="G9" s="20" t="s">
        <v>46</v>
      </c>
      <c r="H9" s="20" t="s">
        <v>46</v>
      </c>
      <c r="I9" s="20" t="str">
        <f t="shared" si="0"/>
        <v>A13_p</v>
      </c>
      <c r="J9" s="20" t="s">
        <v>47</v>
      </c>
      <c r="K9" s="20" t="s">
        <v>48</v>
      </c>
      <c r="L9" s="20" t="s">
        <v>49</v>
      </c>
      <c r="M9" s="20">
        <v>364</v>
      </c>
      <c r="N9" s="20"/>
      <c r="O9" s="20" t="s">
        <v>46</v>
      </c>
      <c r="P9" s="20"/>
      <c r="Q9" s="20"/>
      <c r="R9" s="20"/>
      <c r="S9" s="20"/>
      <c r="T9" s="20"/>
      <c r="U9" s="20"/>
      <c r="V9" s="20"/>
      <c r="W9" s="20"/>
      <c r="X9" s="20"/>
      <c r="Y9" s="20"/>
      <c r="Z9" s="20">
        <v>168</v>
      </c>
      <c r="AA9" s="20" t="s">
        <v>49</v>
      </c>
      <c r="AB9" s="20">
        <v>364</v>
      </c>
    </row>
    <row r="10" spans="1:28" ht="31.9" customHeight="1" x14ac:dyDescent="0.2">
      <c r="A10" s="18">
        <v>222</v>
      </c>
      <c r="B10" s="20" t="s">
        <v>53</v>
      </c>
      <c r="C10" s="32" t="s">
        <v>54</v>
      </c>
      <c r="D10" s="32"/>
      <c r="E10" s="20"/>
      <c r="F10" s="20" t="s">
        <v>45</v>
      </c>
      <c r="G10" s="20" t="s">
        <v>46</v>
      </c>
      <c r="H10" s="20" t="s">
        <v>46</v>
      </c>
      <c r="I10" s="20" t="str">
        <f t="shared" si="0"/>
        <v>A14</v>
      </c>
      <c r="J10" s="20" t="s">
        <v>47</v>
      </c>
      <c r="K10" s="20" t="s">
        <v>48</v>
      </c>
      <c r="L10" s="20" t="s">
        <v>49</v>
      </c>
      <c r="M10" s="20">
        <v>363</v>
      </c>
      <c r="N10" s="20"/>
      <c r="O10" s="20" t="s">
        <v>47</v>
      </c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>
        <v>219.23400000000001</v>
      </c>
      <c r="AA10" s="20" t="s">
        <v>49</v>
      </c>
      <c r="AB10" s="20">
        <v>363</v>
      </c>
    </row>
    <row r="11" spans="1:28" ht="31.9" customHeight="1" x14ac:dyDescent="0.2">
      <c r="A11" s="18">
        <v>2</v>
      </c>
      <c r="B11" s="33" t="s">
        <v>55</v>
      </c>
      <c r="C11" s="32" t="s">
        <v>56</v>
      </c>
      <c r="D11" s="32"/>
      <c r="E11" s="20"/>
      <c r="F11" s="20" t="s">
        <v>45</v>
      </c>
      <c r="G11" s="20" t="s">
        <v>46</v>
      </c>
      <c r="H11" s="20" t="s">
        <v>46</v>
      </c>
      <c r="I11" s="20" t="str">
        <f t="shared" si="0"/>
        <v>A15</v>
      </c>
      <c r="J11" s="20" t="s">
        <v>47</v>
      </c>
      <c r="K11" s="20" t="s">
        <v>48</v>
      </c>
      <c r="L11" s="20" t="s">
        <v>49</v>
      </c>
      <c r="M11" s="20">
        <v>348</v>
      </c>
      <c r="N11" s="20"/>
      <c r="O11" s="20" t="s">
        <v>47</v>
      </c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>
        <v>217.23500000000001</v>
      </c>
      <c r="AA11" s="20" t="s">
        <v>49</v>
      </c>
      <c r="AB11" s="20">
        <v>348</v>
      </c>
    </row>
    <row r="12" spans="1:28" ht="31.9" customHeight="1" x14ac:dyDescent="0.2">
      <c r="A12" s="30">
        <v>24</v>
      </c>
      <c r="B12" s="31" t="s">
        <v>57</v>
      </c>
      <c r="C12" s="32" t="s">
        <v>56</v>
      </c>
      <c r="D12" s="32"/>
      <c r="E12" s="20"/>
      <c r="F12" s="20" t="s">
        <v>45</v>
      </c>
      <c r="G12" s="20" t="s">
        <v>46</v>
      </c>
      <c r="H12" s="20" t="s">
        <v>46</v>
      </c>
      <c r="I12" s="20" t="str">
        <f t="shared" si="0"/>
        <v>A15_p</v>
      </c>
      <c r="J12" s="20" t="s">
        <v>47</v>
      </c>
      <c r="K12" s="20" t="s">
        <v>48</v>
      </c>
      <c r="L12" s="20" t="s">
        <v>49</v>
      </c>
      <c r="M12" s="20">
        <v>348</v>
      </c>
      <c r="N12" s="20"/>
      <c r="O12" s="20" t="s">
        <v>46</v>
      </c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>
        <v>161</v>
      </c>
      <c r="AA12" s="20" t="s">
        <v>49</v>
      </c>
      <c r="AB12" s="20">
        <v>348</v>
      </c>
    </row>
    <row r="13" spans="1:28" ht="31.9" customHeight="1" x14ac:dyDescent="0.2">
      <c r="A13" s="30">
        <v>32</v>
      </c>
      <c r="B13" s="31" t="s">
        <v>58</v>
      </c>
      <c r="C13" s="32" t="s">
        <v>59</v>
      </c>
      <c r="D13" s="32"/>
      <c r="E13" s="20"/>
      <c r="F13" s="20" t="s">
        <v>45</v>
      </c>
      <c r="G13" s="20" t="s">
        <v>46</v>
      </c>
      <c r="H13" s="20" t="s">
        <v>46</v>
      </c>
      <c r="I13" s="20" t="str">
        <f t="shared" si="0"/>
        <v>A16</v>
      </c>
      <c r="J13" s="20" t="s">
        <v>47</v>
      </c>
      <c r="K13" s="20" t="s">
        <v>48</v>
      </c>
      <c r="L13" s="20" t="s">
        <v>60</v>
      </c>
      <c r="M13" s="20">
        <v>359</v>
      </c>
      <c r="N13" s="20"/>
      <c r="O13" s="20" t="s">
        <v>47</v>
      </c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>
        <v>146.23599999999999</v>
      </c>
      <c r="AA13" s="20" t="s">
        <v>49</v>
      </c>
      <c r="AB13" s="20">
        <v>361</v>
      </c>
    </row>
    <row r="14" spans="1:28" ht="31.9" customHeight="1" x14ac:dyDescent="0.2">
      <c r="A14" s="30">
        <v>33</v>
      </c>
      <c r="B14" s="31" t="s">
        <v>61</v>
      </c>
      <c r="C14" s="32" t="s">
        <v>59</v>
      </c>
      <c r="D14" s="32"/>
      <c r="E14" s="20"/>
      <c r="F14" s="20" t="s">
        <v>45</v>
      </c>
      <c r="G14" s="20" t="s">
        <v>46</v>
      </c>
      <c r="H14" s="20" t="s">
        <v>46</v>
      </c>
      <c r="I14" s="20" t="str">
        <f t="shared" si="0"/>
        <v>A16_p</v>
      </c>
      <c r="J14" s="20" t="s">
        <v>47</v>
      </c>
      <c r="K14" s="20" t="s">
        <v>48</v>
      </c>
      <c r="L14" s="20" t="s">
        <v>60</v>
      </c>
      <c r="M14" s="20">
        <v>359</v>
      </c>
      <c r="N14" s="20"/>
      <c r="O14" s="20" t="s">
        <v>46</v>
      </c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>
        <v>170</v>
      </c>
      <c r="AA14" s="20" t="s">
        <v>49</v>
      </c>
      <c r="AB14" s="20">
        <v>361</v>
      </c>
    </row>
    <row r="15" spans="1:28" ht="31.9" customHeight="1" x14ac:dyDescent="0.2">
      <c r="A15" s="30">
        <v>3</v>
      </c>
      <c r="B15" s="31" t="s">
        <v>62</v>
      </c>
      <c r="C15" s="32" t="s">
        <v>63</v>
      </c>
      <c r="D15" s="32"/>
      <c r="E15" s="20"/>
      <c r="F15" s="20" t="s">
        <v>45</v>
      </c>
      <c r="G15" s="20" t="s">
        <v>46</v>
      </c>
      <c r="H15" s="20" t="s">
        <v>46</v>
      </c>
      <c r="I15" s="20" t="str">
        <f t="shared" si="0"/>
        <v>A22</v>
      </c>
      <c r="J15" s="20" t="s">
        <v>47</v>
      </c>
      <c r="K15" s="20" t="s">
        <v>48</v>
      </c>
      <c r="L15" s="20" t="s">
        <v>49</v>
      </c>
      <c r="M15" s="20">
        <v>999</v>
      </c>
      <c r="N15" s="20"/>
      <c r="O15" s="20" t="s">
        <v>47</v>
      </c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>
        <v>237</v>
      </c>
      <c r="AA15" s="20" t="s">
        <v>49</v>
      </c>
      <c r="AB15" s="20">
        <v>999</v>
      </c>
    </row>
    <row r="16" spans="1:28" ht="31.9" customHeight="1" x14ac:dyDescent="0.2">
      <c r="A16" s="18">
        <v>47</v>
      </c>
      <c r="B16" s="20" t="s">
        <v>64</v>
      </c>
      <c r="C16" s="32" t="s">
        <v>63</v>
      </c>
      <c r="D16" s="32"/>
      <c r="E16" s="20"/>
      <c r="F16" s="20" t="s">
        <v>45</v>
      </c>
      <c r="G16" s="20" t="s">
        <v>46</v>
      </c>
      <c r="H16" s="20" t="s">
        <v>46</v>
      </c>
      <c r="I16" s="20" t="str">
        <f t="shared" si="0"/>
        <v>A22_p</v>
      </c>
      <c r="J16" s="20" t="s">
        <v>47</v>
      </c>
      <c r="K16" s="20" t="s">
        <v>48</v>
      </c>
      <c r="L16" s="20" t="s">
        <v>49</v>
      </c>
      <c r="M16" s="20">
        <v>999</v>
      </c>
      <c r="N16" s="20"/>
      <c r="O16" s="20" t="s">
        <v>46</v>
      </c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>
        <v>184</v>
      </c>
      <c r="AA16" s="20" t="s">
        <v>49</v>
      </c>
      <c r="AB16" s="20">
        <v>999</v>
      </c>
    </row>
    <row r="17" spans="1:28" ht="31.9" customHeight="1" x14ac:dyDescent="0.2">
      <c r="A17" s="30">
        <v>34</v>
      </c>
      <c r="B17" s="31" t="s">
        <v>65</v>
      </c>
      <c r="C17" s="32" t="s">
        <v>66</v>
      </c>
      <c r="D17" s="32"/>
      <c r="E17" s="20"/>
      <c r="F17" s="20" t="s">
        <v>45</v>
      </c>
      <c r="G17" s="20" t="s">
        <v>46</v>
      </c>
      <c r="H17" s="20" t="s">
        <v>46</v>
      </c>
      <c r="I17" s="20" t="str">
        <f t="shared" si="0"/>
        <v>A22_vp</v>
      </c>
      <c r="J17" s="20" t="s">
        <v>47</v>
      </c>
      <c r="K17" s="20" t="s">
        <v>48</v>
      </c>
      <c r="L17" s="20" t="s">
        <v>49</v>
      </c>
      <c r="M17" s="20">
        <v>398</v>
      </c>
      <c r="N17" s="20"/>
      <c r="O17" s="20" t="s">
        <v>47</v>
      </c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>
        <v>171</v>
      </c>
      <c r="AA17" s="20" t="s">
        <v>49</v>
      </c>
      <c r="AB17" s="20">
        <v>398</v>
      </c>
    </row>
    <row r="18" spans="1:28" ht="31.9" customHeight="1" x14ac:dyDescent="0.2">
      <c r="A18" s="30">
        <v>4</v>
      </c>
      <c r="B18" s="31" t="s">
        <v>67</v>
      </c>
      <c r="C18" s="32" t="s">
        <v>68</v>
      </c>
      <c r="D18" s="32"/>
      <c r="E18" s="20"/>
      <c r="F18" s="20" t="s">
        <v>45</v>
      </c>
      <c r="G18" s="20" t="s">
        <v>46</v>
      </c>
      <c r="H18" s="20" t="s">
        <v>46</v>
      </c>
      <c r="I18" s="20" t="str">
        <f t="shared" si="0"/>
        <v>A23</v>
      </c>
      <c r="J18" s="20" t="s">
        <v>47</v>
      </c>
      <c r="K18" s="20" t="s">
        <v>48</v>
      </c>
      <c r="L18" s="20" t="s">
        <v>69</v>
      </c>
      <c r="M18" s="20">
        <v>111</v>
      </c>
      <c r="N18" s="20"/>
      <c r="O18" s="20" t="s">
        <v>47</v>
      </c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>
        <v>218.238</v>
      </c>
      <c r="AA18" s="20" t="s">
        <v>49</v>
      </c>
      <c r="AB18" s="20">
        <v>421</v>
      </c>
    </row>
    <row r="19" spans="1:28" ht="31.9" customHeight="1" x14ac:dyDescent="0.2">
      <c r="A19" s="30">
        <v>25</v>
      </c>
      <c r="B19" s="31" t="s">
        <v>70</v>
      </c>
      <c r="C19" s="32" t="s">
        <v>68</v>
      </c>
      <c r="D19" s="32"/>
      <c r="E19" s="20"/>
      <c r="F19" s="20" t="s">
        <v>45</v>
      </c>
      <c r="G19" s="20" t="s">
        <v>46</v>
      </c>
      <c r="H19" s="20" t="s">
        <v>46</v>
      </c>
      <c r="I19" s="20" t="str">
        <f t="shared" si="0"/>
        <v>A23_p</v>
      </c>
      <c r="J19" s="20" t="s">
        <v>47</v>
      </c>
      <c r="K19" s="20" t="s">
        <v>48</v>
      </c>
      <c r="L19" s="20" t="s">
        <v>69</v>
      </c>
      <c r="M19" s="20">
        <v>111</v>
      </c>
      <c r="N19" s="20"/>
      <c r="O19" s="20" t="s">
        <v>46</v>
      </c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>
        <v>162</v>
      </c>
      <c r="AA19" s="20" t="s">
        <v>49</v>
      </c>
      <c r="AB19" s="20">
        <v>421</v>
      </c>
    </row>
    <row r="20" spans="1:28" ht="31.9" customHeight="1" x14ac:dyDescent="0.2">
      <c r="A20" s="30">
        <v>5</v>
      </c>
      <c r="B20" s="31" t="s">
        <v>71</v>
      </c>
      <c r="C20" s="32" t="s">
        <v>72</v>
      </c>
      <c r="D20" s="32"/>
      <c r="E20" s="20"/>
      <c r="F20" s="20" t="s">
        <v>45</v>
      </c>
      <c r="G20" s="20" t="s">
        <v>46</v>
      </c>
      <c r="H20" s="20" t="s">
        <v>46</v>
      </c>
      <c r="I20" s="20" t="str">
        <f t="shared" si="0"/>
        <v>A24</v>
      </c>
      <c r="J20" s="20" t="s">
        <v>47</v>
      </c>
      <c r="K20" s="20" t="s">
        <v>48</v>
      </c>
      <c r="L20" s="20" t="s">
        <v>60</v>
      </c>
      <c r="M20" s="20">
        <v>112</v>
      </c>
      <c r="N20" s="20"/>
      <c r="O20" s="20" t="s">
        <v>47</v>
      </c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>
        <v>240</v>
      </c>
      <c r="AA20" s="20" t="s">
        <v>49</v>
      </c>
      <c r="AB20" s="20">
        <v>261</v>
      </c>
    </row>
    <row r="21" spans="1:28" ht="31.9" customHeight="1" x14ac:dyDescent="0.2">
      <c r="A21" s="30">
        <v>26</v>
      </c>
      <c r="B21" s="31" t="s">
        <v>73</v>
      </c>
      <c r="C21" s="32" t="s">
        <v>72</v>
      </c>
      <c r="D21" s="32"/>
      <c r="E21" s="20"/>
      <c r="F21" s="20" t="s">
        <v>45</v>
      </c>
      <c r="G21" s="20" t="s">
        <v>46</v>
      </c>
      <c r="H21" s="20" t="s">
        <v>46</v>
      </c>
      <c r="I21" s="20" t="str">
        <f t="shared" si="0"/>
        <v>A24_p</v>
      </c>
      <c r="J21" s="20" t="s">
        <v>47</v>
      </c>
      <c r="K21" s="20" t="s">
        <v>48</v>
      </c>
      <c r="L21" s="20" t="s">
        <v>60</v>
      </c>
      <c r="M21" s="20">
        <v>112</v>
      </c>
      <c r="N21" s="20"/>
      <c r="O21" s="20" t="s">
        <v>46</v>
      </c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>
        <v>163</v>
      </c>
      <c r="AA21" s="20" t="s">
        <v>49</v>
      </c>
      <c r="AB21" s="20">
        <v>261</v>
      </c>
    </row>
    <row r="22" spans="1:28" ht="31.9" customHeight="1" x14ac:dyDescent="0.2">
      <c r="A22" s="30">
        <v>6</v>
      </c>
      <c r="B22" s="31" t="s">
        <v>74</v>
      </c>
      <c r="C22" s="32" t="s">
        <v>75</v>
      </c>
      <c r="D22" s="32"/>
      <c r="E22" s="20"/>
      <c r="F22" s="20" t="s">
        <v>45</v>
      </c>
      <c r="G22" s="20" t="s">
        <v>46</v>
      </c>
      <c r="H22" s="20" t="s">
        <v>46</v>
      </c>
      <c r="I22" s="20" t="str">
        <f t="shared" si="0"/>
        <v>A26</v>
      </c>
      <c r="J22" s="20" t="s">
        <v>47</v>
      </c>
      <c r="K22" s="20" t="s">
        <v>48</v>
      </c>
      <c r="L22" s="20" t="s">
        <v>60</v>
      </c>
      <c r="M22" s="20">
        <v>113</v>
      </c>
      <c r="N22" s="20"/>
      <c r="O22" s="20" t="s">
        <v>47</v>
      </c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>
        <v>241</v>
      </c>
      <c r="AA22" s="20" t="s">
        <v>49</v>
      </c>
      <c r="AB22" s="20">
        <v>262</v>
      </c>
    </row>
    <row r="23" spans="1:28" ht="31.9" customHeight="1" x14ac:dyDescent="0.2">
      <c r="A23" s="30">
        <v>27</v>
      </c>
      <c r="B23" s="31" t="s">
        <v>76</v>
      </c>
      <c r="C23" s="32" t="s">
        <v>75</v>
      </c>
      <c r="D23" s="32"/>
      <c r="E23" s="20"/>
      <c r="F23" s="20" t="s">
        <v>45</v>
      </c>
      <c r="G23" s="20" t="s">
        <v>46</v>
      </c>
      <c r="H23" s="20" t="s">
        <v>46</v>
      </c>
      <c r="I23" s="20" t="str">
        <f t="shared" si="0"/>
        <v>A26_p</v>
      </c>
      <c r="J23" s="20" t="s">
        <v>47</v>
      </c>
      <c r="K23" s="20" t="s">
        <v>48</v>
      </c>
      <c r="L23" s="20" t="s">
        <v>60</v>
      </c>
      <c r="M23" s="20">
        <v>113</v>
      </c>
      <c r="N23" s="20"/>
      <c r="O23" s="20" t="s">
        <v>46</v>
      </c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>
        <v>164</v>
      </c>
      <c r="AA23" s="20" t="s">
        <v>49</v>
      </c>
      <c r="AB23" s="20">
        <v>262</v>
      </c>
    </row>
    <row r="24" spans="1:28" ht="31.9" customHeight="1" x14ac:dyDescent="0.2">
      <c r="A24" s="30">
        <v>7</v>
      </c>
      <c r="B24" s="31" t="s">
        <v>77</v>
      </c>
      <c r="C24" s="32" t="s">
        <v>78</v>
      </c>
      <c r="D24" s="32"/>
      <c r="E24" s="20"/>
      <c r="F24" s="20" t="s">
        <v>45</v>
      </c>
      <c r="G24" s="20" t="s">
        <v>46</v>
      </c>
      <c r="H24" s="20" t="s">
        <v>46</v>
      </c>
      <c r="I24" s="20" t="str">
        <f t="shared" si="0"/>
        <v>A27</v>
      </c>
      <c r="J24" s="20" t="s">
        <v>47</v>
      </c>
      <c r="K24" s="20" t="s">
        <v>48</v>
      </c>
      <c r="L24" s="20" t="s">
        <v>69</v>
      </c>
      <c r="M24" s="20">
        <v>112</v>
      </c>
      <c r="N24" s="20"/>
      <c r="O24" s="20" t="s">
        <v>47</v>
      </c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>
        <v>242</v>
      </c>
      <c r="AA24" s="20" t="s">
        <v>49</v>
      </c>
      <c r="AB24" s="20">
        <v>422</v>
      </c>
    </row>
    <row r="25" spans="1:28" ht="31.9" customHeight="1" x14ac:dyDescent="0.2">
      <c r="A25" s="30">
        <v>28</v>
      </c>
      <c r="B25" s="31" t="s">
        <v>79</v>
      </c>
      <c r="C25" s="32" t="s">
        <v>78</v>
      </c>
      <c r="D25" s="32"/>
      <c r="E25" s="20"/>
      <c r="F25" s="20" t="s">
        <v>45</v>
      </c>
      <c r="G25" s="20" t="s">
        <v>46</v>
      </c>
      <c r="H25" s="20" t="s">
        <v>46</v>
      </c>
      <c r="I25" s="20" t="str">
        <f t="shared" si="0"/>
        <v>A27_p</v>
      </c>
      <c r="J25" s="20" t="s">
        <v>47</v>
      </c>
      <c r="K25" s="20" t="s">
        <v>48</v>
      </c>
      <c r="L25" s="20" t="s">
        <v>69</v>
      </c>
      <c r="M25" s="20">
        <v>112</v>
      </c>
      <c r="N25" s="20"/>
      <c r="O25" s="20" t="s">
        <v>46</v>
      </c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>
        <v>165</v>
      </c>
      <c r="AA25" s="20" t="s">
        <v>49</v>
      </c>
      <c r="AB25" s="20">
        <v>422</v>
      </c>
    </row>
    <row r="26" spans="1:28" ht="31.9" customHeight="1" x14ac:dyDescent="0.2">
      <c r="A26" s="18">
        <v>9</v>
      </c>
      <c r="B26" s="20" t="s">
        <v>80</v>
      </c>
      <c r="C26" s="32" t="s">
        <v>81</v>
      </c>
      <c r="D26" s="32"/>
      <c r="E26" s="20"/>
      <c r="F26" s="20" t="s">
        <v>45</v>
      </c>
      <c r="G26" s="20" t="s">
        <v>46</v>
      </c>
      <c r="H26" s="20" t="s">
        <v>46</v>
      </c>
      <c r="I26" s="20" t="str">
        <f t="shared" si="0"/>
        <v>A28</v>
      </c>
      <c r="J26" s="20" t="s">
        <v>47</v>
      </c>
      <c r="K26" s="20" t="s">
        <v>48</v>
      </c>
      <c r="L26" s="20" t="s">
        <v>49</v>
      </c>
      <c r="M26" s="20">
        <v>257</v>
      </c>
      <c r="N26" s="20"/>
      <c r="O26" s="20" t="s">
        <v>47</v>
      </c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 t="s">
        <v>49</v>
      </c>
      <c r="AB26" s="20">
        <v>257</v>
      </c>
    </row>
    <row r="27" spans="1:28" ht="31.9" customHeight="1" x14ac:dyDescent="0.2">
      <c r="A27" s="30">
        <v>36</v>
      </c>
      <c r="B27" s="31" t="s">
        <v>82</v>
      </c>
      <c r="C27" s="32" t="s">
        <v>83</v>
      </c>
      <c r="D27" s="32"/>
      <c r="E27" s="20"/>
      <c r="F27" s="20" t="s">
        <v>45</v>
      </c>
      <c r="G27" s="20" t="s">
        <v>46</v>
      </c>
      <c r="H27" s="20" t="s">
        <v>46</v>
      </c>
      <c r="I27" s="20" t="str">
        <f t="shared" si="0"/>
        <v>A6a</v>
      </c>
      <c r="J27" s="20" t="s">
        <v>47</v>
      </c>
      <c r="K27" s="20" t="s">
        <v>48</v>
      </c>
      <c r="L27" s="20" t="s">
        <v>49</v>
      </c>
      <c r="M27" s="20">
        <v>319</v>
      </c>
      <c r="N27" s="20"/>
      <c r="O27" s="20" t="s">
        <v>47</v>
      </c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>
        <v>141</v>
      </c>
      <c r="AA27" s="20" t="s">
        <v>49</v>
      </c>
      <c r="AB27" s="20">
        <v>319</v>
      </c>
    </row>
    <row r="28" spans="1:28" ht="31.9" customHeight="1" x14ac:dyDescent="0.2">
      <c r="A28" s="30">
        <v>37</v>
      </c>
      <c r="B28" s="31" t="s">
        <v>84</v>
      </c>
      <c r="C28" s="32" t="s">
        <v>85</v>
      </c>
      <c r="D28" s="32"/>
      <c r="E28" s="20"/>
      <c r="F28" s="20" t="s">
        <v>45</v>
      </c>
      <c r="G28" s="20" t="s">
        <v>46</v>
      </c>
      <c r="H28" s="20" t="s">
        <v>46</v>
      </c>
      <c r="I28" s="20" t="str">
        <f t="shared" si="0"/>
        <v>A6b_l</v>
      </c>
      <c r="J28" s="20" t="s">
        <v>47</v>
      </c>
      <c r="K28" s="20" t="s">
        <v>48</v>
      </c>
      <c r="L28" s="20" t="s">
        <v>49</v>
      </c>
      <c r="M28" s="20">
        <v>297</v>
      </c>
      <c r="N28" s="20"/>
      <c r="O28" s="20" t="s">
        <v>47</v>
      </c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 t="s">
        <v>49</v>
      </c>
      <c r="AB28" s="20">
        <v>297</v>
      </c>
    </row>
    <row r="29" spans="1:28" ht="31.9" customHeight="1" x14ac:dyDescent="0.2">
      <c r="A29" s="30">
        <v>38</v>
      </c>
      <c r="B29" s="31" t="s">
        <v>86</v>
      </c>
      <c r="C29" s="32" t="s">
        <v>87</v>
      </c>
      <c r="D29" s="32"/>
      <c r="E29" s="20"/>
      <c r="F29" s="20" t="s">
        <v>45</v>
      </c>
      <c r="G29" s="20" t="s">
        <v>46</v>
      </c>
      <c r="H29" s="20" t="s">
        <v>46</v>
      </c>
      <c r="I29" s="20" t="str">
        <f t="shared" si="0"/>
        <v>A6b_p</v>
      </c>
      <c r="J29" s="20" t="s">
        <v>47</v>
      </c>
      <c r="K29" s="20" t="s">
        <v>48</v>
      </c>
      <c r="L29" s="20" t="s">
        <v>49</v>
      </c>
      <c r="M29" s="20">
        <v>296</v>
      </c>
      <c r="N29" s="20"/>
      <c r="O29" s="20" t="s">
        <v>47</v>
      </c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>
        <v>142</v>
      </c>
      <c r="AA29" s="20" t="s">
        <v>49</v>
      </c>
      <c r="AB29" s="20">
        <v>296</v>
      </c>
    </row>
    <row r="30" spans="1:28" ht="31.9" customHeight="1" x14ac:dyDescent="0.2">
      <c r="A30" s="30">
        <v>39</v>
      </c>
      <c r="B30" s="31" t="s">
        <v>88</v>
      </c>
      <c r="C30" s="32" t="s">
        <v>89</v>
      </c>
      <c r="D30" s="32"/>
      <c r="E30" s="20"/>
      <c r="F30" s="20" t="s">
        <v>45</v>
      </c>
      <c r="G30" s="20" t="s">
        <v>46</v>
      </c>
      <c r="H30" s="20" t="s">
        <v>46</v>
      </c>
      <c r="I30" s="20" t="str">
        <f t="shared" si="0"/>
        <v>A7a</v>
      </c>
      <c r="J30" s="20" t="s">
        <v>47</v>
      </c>
      <c r="K30" s="20" t="s">
        <v>48</v>
      </c>
      <c r="L30" s="20" t="s">
        <v>49</v>
      </c>
      <c r="M30" s="20">
        <v>268</v>
      </c>
      <c r="N30" s="20"/>
      <c r="O30" s="20" t="s">
        <v>47</v>
      </c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>
        <v>143</v>
      </c>
      <c r="AA30" s="20" t="s">
        <v>49</v>
      </c>
      <c r="AB30" s="20">
        <v>268</v>
      </c>
    </row>
    <row r="31" spans="1:28" ht="31.9" customHeight="1" x14ac:dyDescent="0.2">
      <c r="A31" s="18">
        <v>1</v>
      </c>
      <c r="B31" s="33" t="s">
        <v>90</v>
      </c>
      <c r="C31" s="32" t="s">
        <v>91</v>
      </c>
      <c r="D31" s="32"/>
      <c r="E31" s="33"/>
      <c r="F31" s="20" t="s">
        <v>45</v>
      </c>
      <c r="G31" s="20" t="s">
        <v>46</v>
      </c>
      <c r="H31" s="20" t="s">
        <v>46</v>
      </c>
      <c r="I31" s="20" t="str">
        <f t="shared" si="0"/>
        <v>A8</v>
      </c>
      <c r="J31" s="20" t="s">
        <v>47</v>
      </c>
      <c r="K31" s="20" t="s">
        <v>48</v>
      </c>
      <c r="L31" s="20" t="s">
        <v>49</v>
      </c>
      <c r="M31" s="20">
        <v>254</v>
      </c>
      <c r="N31" s="20"/>
      <c r="O31" s="20" t="s">
        <v>47</v>
      </c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 t="s">
        <v>92</v>
      </c>
      <c r="AA31" s="20" t="s">
        <v>49</v>
      </c>
      <c r="AB31" s="20">
        <v>254</v>
      </c>
    </row>
    <row r="32" spans="1:28" ht="31.9" customHeight="1" x14ac:dyDescent="0.2">
      <c r="A32" s="30">
        <v>23</v>
      </c>
      <c r="B32" s="31" t="s">
        <v>93</v>
      </c>
      <c r="C32" s="32" t="s">
        <v>91</v>
      </c>
      <c r="D32" s="32"/>
      <c r="E32" s="20"/>
      <c r="F32" s="20" t="s">
        <v>45</v>
      </c>
      <c r="G32" s="20" t="s">
        <v>46</v>
      </c>
      <c r="H32" s="20" t="s">
        <v>46</v>
      </c>
      <c r="I32" s="20" t="str">
        <f t="shared" si="0"/>
        <v>A8_p</v>
      </c>
      <c r="J32" s="20" t="s">
        <v>47</v>
      </c>
      <c r="K32" s="20" t="s">
        <v>48</v>
      </c>
      <c r="L32" s="20" t="s">
        <v>49</v>
      </c>
      <c r="M32" s="20">
        <v>254</v>
      </c>
      <c r="N32" s="20"/>
      <c r="O32" s="20" t="s">
        <v>46</v>
      </c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>
        <v>160</v>
      </c>
      <c r="AA32" s="20" t="s">
        <v>49</v>
      </c>
      <c r="AB32" s="20">
        <v>254</v>
      </c>
    </row>
    <row r="33" spans="1:28" ht="31.9" customHeight="1" x14ac:dyDescent="0.2">
      <c r="A33" s="30">
        <v>29</v>
      </c>
      <c r="B33" s="31" t="s">
        <v>94</v>
      </c>
      <c r="C33" s="32" t="s">
        <v>95</v>
      </c>
      <c r="D33" s="32"/>
      <c r="E33" s="31"/>
      <c r="F33" s="20" t="s">
        <v>45</v>
      </c>
      <c r="G33" s="20" t="s">
        <v>46</v>
      </c>
      <c r="H33" s="20" t="s">
        <v>46</v>
      </c>
      <c r="I33" s="20" t="str">
        <f t="shared" si="0"/>
        <v>A9</v>
      </c>
      <c r="J33" s="20" t="s">
        <v>47</v>
      </c>
      <c r="K33" s="20" t="s">
        <v>48</v>
      </c>
      <c r="L33" s="20" t="s">
        <v>49</v>
      </c>
      <c r="M33" s="20">
        <v>332</v>
      </c>
      <c r="N33" s="20"/>
      <c r="O33" s="20" t="s">
        <v>47</v>
      </c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>
        <v>144</v>
      </c>
      <c r="AA33" s="20" t="s">
        <v>49</v>
      </c>
      <c r="AB33" s="20">
        <v>332</v>
      </c>
    </row>
    <row r="34" spans="1:28" ht="31.9" customHeight="1" x14ac:dyDescent="0.2">
      <c r="A34" s="18">
        <v>233</v>
      </c>
      <c r="B34" s="20" t="s">
        <v>96</v>
      </c>
      <c r="C34" s="32" t="s">
        <v>97</v>
      </c>
      <c r="D34" s="32"/>
      <c r="E34" s="20"/>
      <c r="F34" s="20" t="s">
        <v>98</v>
      </c>
      <c r="G34" s="20" t="s">
        <v>46</v>
      </c>
      <c r="H34" s="20" t="s">
        <v>47</v>
      </c>
      <c r="I34" s="20" t="str">
        <f t="shared" si="0"/>
        <v>B1</v>
      </c>
      <c r="J34" s="20" t="s">
        <v>47</v>
      </c>
      <c r="K34" s="20" t="s">
        <v>99</v>
      </c>
      <c r="L34" s="20" t="s">
        <v>100</v>
      </c>
      <c r="M34" s="20">
        <v>415</v>
      </c>
      <c r="N34" s="20"/>
      <c r="O34" s="20" t="s">
        <v>46</v>
      </c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>
        <v>244.251</v>
      </c>
      <c r="AA34" s="20" t="s">
        <v>100</v>
      </c>
      <c r="AB34" s="20">
        <v>415</v>
      </c>
    </row>
    <row r="35" spans="1:28" ht="31.9" customHeight="1" x14ac:dyDescent="0.2">
      <c r="A35" s="18" t="s">
        <v>101</v>
      </c>
      <c r="B35" s="20" t="s">
        <v>102</v>
      </c>
      <c r="C35" s="34" t="s">
        <v>103</v>
      </c>
      <c r="D35" s="34"/>
      <c r="E35" s="20"/>
      <c r="F35" s="20" t="s">
        <v>98</v>
      </c>
      <c r="G35" s="20" t="s">
        <v>46</v>
      </c>
      <c r="H35" s="20" t="s">
        <v>47</v>
      </c>
      <c r="I35" s="20" t="str">
        <f t="shared" si="0"/>
        <v>B13_6t</v>
      </c>
      <c r="J35" s="20" t="s">
        <v>47</v>
      </c>
      <c r="K35" s="20" t="s">
        <v>99</v>
      </c>
      <c r="L35" s="20" t="s">
        <v>100</v>
      </c>
      <c r="M35" s="20">
        <v>512</v>
      </c>
      <c r="N35" s="20"/>
      <c r="O35" s="20" t="s">
        <v>46</v>
      </c>
      <c r="P35" s="20" t="s">
        <v>104</v>
      </c>
      <c r="Q35" s="20">
        <v>6</v>
      </c>
      <c r="R35" s="20" t="s">
        <v>105</v>
      </c>
      <c r="S35" s="20"/>
      <c r="T35" s="20"/>
      <c r="U35" s="20"/>
      <c r="V35" s="20"/>
      <c r="W35" s="20"/>
      <c r="X35" s="20"/>
      <c r="Y35" s="20"/>
      <c r="Z35" s="20">
        <v>245</v>
      </c>
      <c r="AA35" s="20" t="s">
        <v>100</v>
      </c>
      <c r="AB35" s="20">
        <v>512</v>
      </c>
    </row>
    <row r="36" spans="1:28" ht="31.9" customHeight="1" x14ac:dyDescent="0.2">
      <c r="A36" s="18">
        <v>225</v>
      </c>
      <c r="B36" s="20" t="s">
        <v>106</v>
      </c>
      <c r="C36" s="34" t="s">
        <v>107</v>
      </c>
      <c r="D36" s="34"/>
      <c r="E36" s="20"/>
      <c r="F36" s="20" t="s">
        <v>98</v>
      </c>
      <c r="G36" s="20" t="s">
        <v>46</v>
      </c>
      <c r="H36" s="20" t="s">
        <v>47</v>
      </c>
      <c r="I36" s="20" t="str">
        <f t="shared" si="0"/>
        <v>B13_12t</v>
      </c>
      <c r="J36" s="20" t="s">
        <v>47</v>
      </c>
      <c r="K36" s="20" t="s">
        <v>99</v>
      </c>
      <c r="L36" s="20" t="s">
        <v>100</v>
      </c>
      <c r="M36" s="20">
        <v>512</v>
      </c>
      <c r="N36" s="20"/>
      <c r="O36" s="20" t="s">
        <v>46</v>
      </c>
      <c r="P36" s="20" t="s">
        <v>104</v>
      </c>
      <c r="Q36" s="20">
        <v>12</v>
      </c>
      <c r="R36" s="20" t="s">
        <v>105</v>
      </c>
      <c r="S36" s="20"/>
      <c r="T36" s="20"/>
      <c r="U36" s="20"/>
      <c r="V36" s="20"/>
      <c r="W36" s="20"/>
      <c r="X36" s="20"/>
      <c r="Y36" s="20"/>
      <c r="Z36" s="20">
        <v>245</v>
      </c>
      <c r="AA36" s="20" t="s">
        <v>100</v>
      </c>
      <c r="AB36" s="20">
        <v>512</v>
      </c>
    </row>
    <row r="37" spans="1:28" ht="31.9" customHeight="1" x14ac:dyDescent="0.2">
      <c r="A37" s="18">
        <v>226</v>
      </c>
      <c r="B37" s="20" t="s">
        <v>108</v>
      </c>
      <c r="C37" s="32" t="s">
        <v>109</v>
      </c>
      <c r="D37" s="32"/>
      <c r="E37" s="20"/>
      <c r="F37" s="20" t="s">
        <v>98</v>
      </c>
      <c r="G37" s="20" t="s">
        <v>46</v>
      </c>
      <c r="H37" s="20" t="s">
        <v>47</v>
      </c>
      <c r="I37" s="20" t="str">
        <f t="shared" si="0"/>
        <v>B19</v>
      </c>
      <c r="J37" s="20" t="s">
        <v>47</v>
      </c>
      <c r="K37" s="20" t="s">
        <v>99</v>
      </c>
      <c r="L37" s="20" t="s">
        <v>100</v>
      </c>
      <c r="M37" s="20">
        <v>477</v>
      </c>
      <c r="N37" s="20"/>
      <c r="O37" s="20" t="s">
        <v>46</v>
      </c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>
        <v>248.249</v>
      </c>
      <c r="AA37" s="20" t="s">
        <v>100</v>
      </c>
      <c r="AB37" s="20">
        <v>477</v>
      </c>
    </row>
    <row r="38" spans="1:28" ht="31.9" customHeight="1" x14ac:dyDescent="0.2">
      <c r="A38" s="30">
        <v>11</v>
      </c>
      <c r="B38" s="31" t="s">
        <v>110</v>
      </c>
      <c r="C38" s="32" t="s">
        <v>111</v>
      </c>
      <c r="D38" s="32"/>
      <c r="E38" s="20"/>
      <c r="F38" s="20" t="s">
        <v>98</v>
      </c>
      <c r="G38" s="20" t="s">
        <v>46</v>
      </c>
      <c r="H38" s="20" t="s">
        <v>47</v>
      </c>
      <c r="I38" s="20" t="str">
        <f t="shared" si="0"/>
        <v>B20a_100</v>
      </c>
      <c r="J38" s="20" t="s">
        <v>47</v>
      </c>
      <c r="K38" s="20" t="s">
        <v>99</v>
      </c>
      <c r="L38" s="20" t="s">
        <v>100</v>
      </c>
      <c r="M38" s="20">
        <v>557</v>
      </c>
      <c r="N38" s="20"/>
      <c r="O38" s="20" t="s">
        <v>46</v>
      </c>
      <c r="P38" s="20" t="s">
        <v>112</v>
      </c>
      <c r="Q38" s="20">
        <v>100</v>
      </c>
      <c r="R38" s="20" t="s">
        <v>113</v>
      </c>
      <c r="S38" s="20"/>
      <c r="T38" s="20"/>
      <c r="U38" s="20"/>
      <c r="V38" s="20"/>
      <c r="W38" s="20"/>
      <c r="X38" s="20"/>
      <c r="Y38" s="20"/>
      <c r="Z38" s="20"/>
      <c r="AA38" s="20" t="s">
        <v>100</v>
      </c>
      <c r="AB38" s="20">
        <v>557</v>
      </c>
    </row>
    <row r="39" spans="1:28" ht="31.9" customHeight="1" x14ac:dyDescent="0.2">
      <c r="A39" s="30">
        <v>10</v>
      </c>
      <c r="B39" s="31" t="s">
        <v>114</v>
      </c>
      <c r="C39" s="32" t="s">
        <v>111</v>
      </c>
      <c r="D39" s="32"/>
      <c r="E39" s="20"/>
      <c r="F39" s="20" t="s">
        <v>98</v>
      </c>
      <c r="G39" s="20" t="s">
        <v>46</v>
      </c>
      <c r="H39" s="20" t="s">
        <v>47</v>
      </c>
      <c r="I39" s="20" t="str">
        <f t="shared" ref="I39:I70" si="1">B39</f>
        <v>B20a_120</v>
      </c>
      <c r="J39" s="20" t="s">
        <v>47</v>
      </c>
      <c r="K39" s="20" t="s">
        <v>99</v>
      </c>
      <c r="L39" s="20" t="s">
        <v>100</v>
      </c>
      <c r="M39" s="20">
        <v>557</v>
      </c>
      <c r="N39" s="20"/>
      <c r="O39" s="20" t="s">
        <v>46</v>
      </c>
      <c r="P39" s="20" t="s">
        <v>112</v>
      </c>
      <c r="Q39" s="20">
        <v>120</v>
      </c>
      <c r="R39" s="20" t="s">
        <v>113</v>
      </c>
      <c r="S39" s="20"/>
      <c r="T39" s="20"/>
      <c r="U39" s="20"/>
      <c r="V39" s="20"/>
      <c r="W39" s="20"/>
      <c r="X39" s="20"/>
      <c r="Y39" s="20"/>
      <c r="Z39" s="20"/>
      <c r="AA39" s="20" t="s">
        <v>100</v>
      </c>
      <c r="AB39" s="20">
        <v>557</v>
      </c>
    </row>
    <row r="40" spans="1:28" ht="31.9" customHeight="1" x14ac:dyDescent="0.2">
      <c r="A40" s="30">
        <v>13</v>
      </c>
      <c r="B40" s="31" t="s">
        <v>115</v>
      </c>
      <c r="C40" s="32" t="s">
        <v>111</v>
      </c>
      <c r="D40" s="32"/>
      <c r="E40" s="20"/>
      <c r="F40" s="20" t="s">
        <v>98</v>
      </c>
      <c r="G40" s="20" t="s">
        <v>46</v>
      </c>
      <c r="H40" s="20" t="s">
        <v>47</v>
      </c>
      <c r="I40" s="20" t="str">
        <f t="shared" si="1"/>
        <v>B20a_60</v>
      </c>
      <c r="J40" s="20" t="s">
        <v>47</v>
      </c>
      <c r="K40" s="20" t="s">
        <v>99</v>
      </c>
      <c r="L40" s="20" t="s">
        <v>100</v>
      </c>
      <c r="M40" s="20">
        <v>557</v>
      </c>
      <c r="N40" s="20"/>
      <c r="O40" s="20" t="s">
        <v>46</v>
      </c>
      <c r="P40" s="20" t="s">
        <v>112</v>
      </c>
      <c r="Q40" s="20">
        <v>60</v>
      </c>
      <c r="R40" s="20" t="s">
        <v>113</v>
      </c>
      <c r="S40" s="20"/>
      <c r="T40" s="20"/>
      <c r="U40" s="20"/>
      <c r="V40" s="20"/>
      <c r="W40" s="20"/>
      <c r="X40" s="20"/>
      <c r="Y40" s="20"/>
      <c r="Z40" s="20"/>
      <c r="AA40" s="20" t="s">
        <v>100</v>
      </c>
      <c r="AB40" s="20">
        <v>557</v>
      </c>
    </row>
    <row r="41" spans="1:28" ht="31.9" customHeight="1" x14ac:dyDescent="0.2">
      <c r="A41" s="30">
        <v>12</v>
      </c>
      <c r="B41" s="31" t="s">
        <v>116</v>
      </c>
      <c r="C41" s="32" t="s">
        <v>111</v>
      </c>
      <c r="D41" s="32"/>
      <c r="E41" s="20"/>
      <c r="F41" s="20" t="s">
        <v>98</v>
      </c>
      <c r="G41" s="20" t="s">
        <v>46</v>
      </c>
      <c r="H41" s="20" t="s">
        <v>47</v>
      </c>
      <c r="I41" s="20" t="str">
        <f t="shared" si="1"/>
        <v>B20a_80</v>
      </c>
      <c r="J41" s="20" t="s">
        <v>47</v>
      </c>
      <c r="K41" s="20" t="s">
        <v>99</v>
      </c>
      <c r="L41" s="20" t="s">
        <v>100</v>
      </c>
      <c r="M41" s="20">
        <v>557</v>
      </c>
      <c r="N41" s="20"/>
      <c r="O41" s="20" t="s">
        <v>46</v>
      </c>
      <c r="P41" s="20" t="s">
        <v>112</v>
      </c>
      <c r="Q41" s="20">
        <v>80</v>
      </c>
      <c r="R41" s="20" t="s">
        <v>113</v>
      </c>
      <c r="S41" s="20"/>
      <c r="T41" s="20"/>
      <c r="U41" s="20"/>
      <c r="V41" s="20"/>
      <c r="W41" s="20"/>
      <c r="X41" s="20"/>
      <c r="Y41" s="20"/>
      <c r="Z41" s="20"/>
      <c r="AA41" s="20" t="s">
        <v>100</v>
      </c>
      <c r="AB41" s="20">
        <v>557</v>
      </c>
    </row>
    <row r="42" spans="1:28" ht="31.9" customHeight="1" x14ac:dyDescent="0.2">
      <c r="A42" s="18" t="s">
        <v>101</v>
      </c>
      <c r="B42" s="20" t="s">
        <v>117</v>
      </c>
      <c r="C42" s="19" t="s">
        <v>118</v>
      </c>
      <c r="D42" s="19"/>
      <c r="E42" s="20"/>
      <c r="F42" s="20" t="s">
        <v>98</v>
      </c>
      <c r="G42" s="20" t="s">
        <v>46</v>
      </c>
      <c r="H42" s="20" t="s">
        <v>47</v>
      </c>
      <c r="I42" s="20" t="str">
        <f t="shared" si="1"/>
        <v>B22a</v>
      </c>
      <c r="J42" s="20" t="s">
        <v>47</v>
      </c>
      <c r="K42" s="20" t="s">
        <v>99</v>
      </c>
      <c r="L42" s="20" t="s">
        <v>100</v>
      </c>
      <c r="M42" s="20">
        <v>544</v>
      </c>
      <c r="N42" s="20"/>
      <c r="O42" s="20" t="s">
        <v>46</v>
      </c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</row>
    <row r="43" spans="1:28" ht="31.9" customHeight="1" x14ac:dyDescent="0.2">
      <c r="A43" s="18">
        <v>19</v>
      </c>
      <c r="B43" s="20" t="s">
        <v>119</v>
      </c>
      <c r="C43" s="34" t="s">
        <v>120</v>
      </c>
      <c r="D43" s="34"/>
      <c r="E43" s="20"/>
      <c r="F43" s="20" t="s">
        <v>98</v>
      </c>
      <c r="G43" s="20" t="s">
        <v>46</v>
      </c>
      <c r="H43" s="20" t="s">
        <v>47</v>
      </c>
      <c r="I43" s="20" t="str">
        <f t="shared" si="1"/>
        <v>B26</v>
      </c>
      <c r="J43" s="20" t="s">
        <v>47</v>
      </c>
      <c r="K43" s="20" t="s">
        <v>121</v>
      </c>
      <c r="L43" s="20" t="s">
        <v>100</v>
      </c>
      <c r="M43" s="20">
        <v>611</v>
      </c>
      <c r="N43" s="20"/>
      <c r="O43" s="20" t="s">
        <v>46</v>
      </c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 t="s">
        <v>100</v>
      </c>
      <c r="AB43" s="20">
        <v>611</v>
      </c>
    </row>
    <row r="44" spans="1:28" ht="31.9" customHeight="1" x14ac:dyDescent="0.2">
      <c r="A44" s="18">
        <v>224</v>
      </c>
      <c r="B44" s="20" t="s">
        <v>122</v>
      </c>
      <c r="C44" s="34" t="s">
        <v>123</v>
      </c>
      <c r="D44" s="34"/>
      <c r="E44" s="20"/>
      <c r="F44" s="20" t="s">
        <v>98</v>
      </c>
      <c r="G44" s="20" t="s">
        <v>46</v>
      </c>
      <c r="H44" s="20" t="s">
        <v>47</v>
      </c>
      <c r="I44" s="20" t="str">
        <f t="shared" si="1"/>
        <v>B3</v>
      </c>
      <c r="J44" s="20" t="s">
        <v>47</v>
      </c>
      <c r="K44" s="20" t="s">
        <v>99</v>
      </c>
      <c r="L44" s="20" t="s">
        <v>100</v>
      </c>
      <c r="M44" s="20">
        <v>416</v>
      </c>
      <c r="N44" s="20"/>
      <c r="O44" s="20" t="s">
        <v>46</v>
      </c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>
        <v>247</v>
      </c>
      <c r="AA44" s="20" t="s">
        <v>100</v>
      </c>
      <c r="AB44" s="20">
        <v>416</v>
      </c>
    </row>
    <row r="45" spans="1:28" ht="31.9" customHeight="1" x14ac:dyDescent="0.2">
      <c r="A45" s="18">
        <v>227</v>
      </c>
      <c r="B45" s="20" t="s">
        <v>124</v>
      </c>
      <c r="C45" s="34" t="s">
        <v>125</v>
      </c>
      <c r="D45" s="34"/>
      <c r="E45" s="20"/>
      <c r="F45" s="20" t="s">
        <v>98</v>
      </c>
      <c r="G45" s="20" t="s">
        <v>46</v>
      </c>
      <c r="H45" s="20" t="s">
        <v>47</v>
      </c>
      <c r="I45" s="20" t="str">
        <f t="shared" si="1"/>
        <v>B33</v>
      </c>
      <c r="J45" s="20" t="s">
        <v>47</v>
      </c>
      <c r="K45" s="20" t="s">
        <v>99</v>
      </c>
      <c r="L45" s="20" t="s">
        <v>100</v>
      </c>
      <c r="M45" s="20">
        <v>429</v>
      </c>
      <c r="N45" s="20"/>
      <c r="O45" s="20" t="s">
        <v>46</v>
      </c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>
        <v>246</v>
      </c>
      <c r="AA45" s="20" t="s">
        <v>100</v>
      </c>
      <c r="AB45" s="20">
        <v>429</v>
      </c>
    </row>
    <row r="46" spans="1:28" ht="31.9" customHeight="1" x14ac:dyDescent="0.2">
      <c r="A46" s="30">
        <v>40</v>
      </c>
      <c r="B46" s="31" t="s">
        <v>126</v>
      </c>
      <c r="C46" s="32" t="s">
        <v>127</v>
      </c>
      <c r="D46" s="32"/>
      <c r="E46" s="20"/>
      <c r="F46" s="20" t="s">
        <v>98</v>
      </c>
      <c r="G46" s="20" t="s">
        <v>46</v>
      </c>
      <c r="H46" s="20" t="s">
        <v>47</v>
      </c>
      <c r="I46" s="20" t="str">
        <f t="shared" si="1"/>
        <v>B4</v>
      </c>
      <c r="J46" s="20" t="s">
        <v>47</v>
      </c>
      <c r="K46" s="20" t="s">
        <v>99</v>
      </c>
      <c r="L46" s="20" t="s">
        <v>100</v>
      </c>
      <c r="M46" s="20">
        <v>421</v>
      </c>
      <c r="N46" s="20"/>
      <c r="O46" s="20" t="s">
        <v>46</v>
      </c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 t="s">
        <v>128</v>
      </c>
      <c r="AA46" s="20" t="s">
        <v>100</v>
      </c>
      <c r="AB46" s="20">
        <v>421</v>
      </c>
    </row>
    <row r="47" spans="1:28" ht="31.9" customHeight="1" x14ac:dyDescent="0.2">
      <c r="A47" s="18">
        <v>228</v>
      </c>
      <c r="B47" s="20" t="s">
        <v>129</v>
      </c>
      <c r="C47" s="34" t="s">
        <v>130</v>
      </c>
      <c r="D47" s="34"/>
      <c r="E47" s="20"/>
      <c r="F47" s="20" t="s">
        <v>98</v>
      </c>
      <c r="G47" s="20" t="s">
        <v>46</v>
      </c>
      <c r="H47" s="20" t="s">
        <v>47</v>
      </c>
      <c r="I47" s="20" t="str">
        <f t="shared" si="1"/>
        <v>B4_12t</v>
      </c>
      <c r="J47" s="20" t="s">
        <v>47</v>
      </c>
      <c r="K47" s="20" t="s">
        <v>99</v>
      </c>
      <c r="L47" s="20" t="s">
        <v>100</v>
      </c>
      <c r="M47" s="20">
        <v>421</v>
      </c>
      <c r="N47" s="20"/>
      <c r="O47" s="20" t="s">
        <v>46</v>
      </c>
      <c r="P47" s="20" t="s">
        <v>104</v>
      </c>
      <c r="Q47" s="20">
        <v>12</v>
      </c>
      <c r="R47" s="20" t="s">
        <v>105</v>
      </c>
      <c r="S47" s="20"/>
      <c r="T47" s="20"/>
      <c r="U47" s="20"/>
      <c r="V47" s="20"/>
      <c r="W47" s="20"/>
      <c r="X47" s="20"/>
      <c r="Y47" s="20"/>
      <c r="Z47" s="20">
        <v>250</v>
      </c>
      <c r="AA47" s="20" t="s">
        <v>100</v>
      </c>
      <c r="AB47" s="20">
        <v>421</v>
      </c>
    </row>
    <row r="48" spans="1:28" ht="31.9" customHeight="1" x14ac:dyDescent="0.2">
      <c r="A48" s="18">
        <v>8</v>
      </c>
      <c r="B48" s="20" t="s">
        <v>131</v>
      </c>
      <c r="C48" s="19" t="s">
        <v>132</v>
      </c>
      <c r="D48" s="19"/>
      <c r="E48" s="20"/>
      <c r="F48" s="20"/>
      <c r="G48" s="20" t="s">
        <v>47</v>
      </c>
      <c r="H48" s="20"/>
      <c r="I48" s="20" t="str">
        <f t="shared" si="1"/>
        <v>blank</v>
      </c>
      <c r="J48" s="20"/>
      <c r="K48" s="20" t="s">
        <v>131</v>
      </c>
      <c r="L48" s="20" t="s">
        <v>133</v>
      </c>
      <c r="M48" s="20">
        <v>991</v>
      </c>
      <c r="N48" s="20" t="s">
        <v>134</v>
      </c>
      <c r="O48" s="20" t="s">
        <v>46</v>
      </c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 t="s">
        <v>135</v>
      </c>
      <c r="AA48" s="20" t="s">
        <v>133</v>
      </c>
      <c r="AB48" s="20">
        <v>991</v>
      </c>
    </row>
    <row r="49" spans="1:28" ht="31.9" customHeight="1" x14ac:dyDescent="0.2">
      <c r="A49" s="18">
        <v>229</v>
      </c>
      <c r="B49" s="20" t="s">
        <v>136</v>
      </c>
      <c r="C49" s="19" t="s">
        <v>137</v>
      </c>
      <c r="D49" s="19"/>
      <c r="E49" s="20"/>
      <c r="F49" s="20" t="s">
        <v>138</v>
      </c>
      <c r="G49" s="20" t="s">
        <v>46</v>
      </c>
      <c r="H49" s="20" t="s">
        <v>46</v>
      </c>
      <c r="I49" s="20" t="str">
        <f t="shared" si="1"/>
        <v>E13</v>
      </c>
      <c r="J49" s="20"/>
      <c r="K49" s="20" t="s">
        <v>121</v>
      </c>
      <c r="L49" s="20"/>
      <c r="M49" s="20"/>
      <c r="N49" s="20"/>
      <c r="O49" s="20" t="s">
        <v>46</v>
      </c>
      <c r="P49" s="20"/>
      <c r="Q49" s="20"/>
      <c r="R49" s="20"/>
      <c r="S49" s="20"/>
      <c r="T49" s="20"/>
      <c r="U49" s="20"/>
      <c r="V49" s="20"/>
      <c r="W49" s="20" t="str">
        <f t="shared" ref="W49:W93" si="2">B49</f>
        <v>E13</v>
      </c>
      <c r="X49" s="20"/>
      <c r="Y49" s="35"/>
      <c r="Z49" s="31"/>
      <c r="AA49" s="20" t="s">
        <v>139</v>
      </c>
      <c r="AB49" s="20"/>
    </row>
    <row r="50" spans="1:28" ht="31.9" customHeight="1" x14ac:dyDescent="0.2">
      <c r="A50" s="18">
        <v>252</v>
      </c>
      <c r="B50" s="20" t="s">
        <v>136</v>
      </c>
      <c r="C50" s="19" t="s">
        <v>140</v>
      </c>
      <c r="D50" s="19"/>
      <c r="E50" s="20"/>
      <c r="F50" s="20" t="s">
        <v>138</v>
      </c>
      <c r="G50" s="20" t="s">
        <v>46</v>
      </c>
      <c r="H50" s="20" t="s">
        <v>46</v>
      </c>
      <c r="I50" s="20" t="str">
        <f t="shared" si="1"/>
        <v>E13</v>
      </c>
      <c r="J50" s="20"/>
      <c r="K50" s="20" t="s">
        <v>121</v>
      </c>
      <c r="L50" s="20"/>
      <c r="M50" s="20"/>
      <c r="N50" s="20"/>
      <c r="O50" s="20" t="s">
        <v>46</v>
      </c>
      <c r="P50" s="20"/>
      <c r="Q50" s="20"/>
      <c r="R50" s="20"/>
      <c r="S50" s="20"/>
      <c r="T50" s="20"/>
      <c r="U50" s="20"/>
      <c r="V50" s="20"/>
      <c r="W50" s="20" t="str">
        <f t="shared" si="2"/>
        <v>E13</v>
      </c>
      <c r="X50" s="20"/>
      <c r="Y50" s="35"/>
      <c r="Z50" s="31"/>
      <c r="AA50" s="20" t="s">
        <v>139</v>
      </c>
      <c r="AB50" s="20"/>
    </row>
    <row r="51" spans="1:28" ht="31.9" customHeight="1" x14ac:dyDescent="0.2">
      <c r="A51">
        <v>101</v>
      </c>
      <c r="B51" t="s">
        <v>141</v>
      </c>
      <c r="C51" s="32" t="s">
        <v>142</v>
      </c>
      <c r="D51" s="32"/>
      <c r="E51" s="20"/>
      <c r="F51" s="20" t="s">
        <v>138</v>
      </c>
      <c r="G51" s="20" t="s">
        <v>46</v>
      </c>
      <c r="H51" s="20" t="s">
        <v>46</v>
      </c>
      <c r="I51" s="20" t="str">
        <f t="shared" si="1"/>
        <v>E3a_500</v>
      </c>
      <c r="J51" s="20"/>
      <c r="K51" s="20" t="s">
        <v>121</v>
      </c>
      <c r="L51" s="20"/>
      <c r="M51" s="20"/>
      <c r="N51" s="20"/>
      <c r="O51" s="20" t="s">
        <v>46</v>
      </c>
      <c r="P51" s="20"/>
      <c r="Q51" s="20"/>
      <c r="R51" s="20"/>
      <c r="S51" s="20" t="s">
        <v>143</v>
      </c>
      <c r="T51" s="20">
        <v>500</v>
      </c>
      <c r="U51" s="20" t="s">
        <v>144</v>
      </c>
      <c r="V51" s="20"/>
      <c r="W51" s="20" t="str">
        <f t="shared" si="2"/>
        <v>E3a_500</v>
      </c>
      <c r="X51" s="20" t="s">
        <v>145</v>
      </c>
      <c r="Y51" s="20" t="s">
        <v>146</v>
      </c>
      <c r="Z51" s="20" t="s">
        <v>147</v>
      </c>
      <c r="AA51" s="20" t="s">
        <v>139</v>
      </c>
      <c r="AB51" s="20">
        <v>137</v>
      </c>
    </row>
    <row r="52" spans="1:28" ht="31.9" customHeight="1" x14ac:dyDescent="0.2">
      <c r="A52">
        <v>102</v>
      </c>
      <c r="B52" t="s">
        <v>148</v>
      </c>
      <c r="C52" s="32" t="s">
        <v>149</v>
      </c>
      <c r="D52" s="32"/>
      <c r="E52" s="20"/>
      <c r="F52" s="20" t="s">
        <v>138</v>
      </c>
      <c r="G52" s="20" t="s">
        <v>46</v>
      </c>
      <c r="H52" s="20" t="s">
        <v>46</v>
      </c>
      <c r="I52" s="20" t="str">
        <f t="shared" si="1"/>
        <v>E3a_1000</v>
      </c>
      <c r="J52" s="20"/>
      <c r="K52" s="20" t="s">
        <v>121</v>
      </c>
      <c r="L52" s="20"/>
      <c r="M52" s="20"/>
      <c r="N52" s="20"/>
      <c r="O52" s="20" t="s">
        <v>46</v>
      </c>
      <c r="P52" s="20"/>
      <c r="Q52" s="20"/>
      <c r="R52" s="20"/>
      <c r="S52" s="20" t="s">
        <v>143</v>
      </c>
      <c r="T52" s="20">
        <v>1000</v>
      </c>
      <c r="U52" s="20" t="s">
        <v>144</v>
      </c>
      <c r="V52" s="20"/>
      <c r="W52" s="20" t="str">
        <f t="shared" si="2"/>
        <v>E3a_1000</v>
      </c>
      <c r="X52" s="20" t="s">
        <v>145</v>
      </c>
      <c r="Y52" s="20" t="s">
        <v>146</v>
      </c>
      <c r="Z52" s="20" t="s">
        <v>147</v>
      </c>
      <c r="AA52" s="20" t="s">
        <v>139</v>
      </c>
      <c r="AB52" s="20">
        <v>137</v>
      </c>
    </row>
    <row r="53" spans="1:28" ht="31.9" customHeight="1" x14ac:dyDescent="0.2">
      <c r="A53">
        <v>103</v>
      </c>
      <c r="B53" t="s">
        <v>150</v>
      </c>
      <c r="C53" s="32" t="s">
        <v>151</v>
      </c>
      <c r="D53" s="32"/>
      <c r="E53" s="20"/>
      <c r="F53" s="20" t="s">
        <v>138</v>
      </c>
      <c r="G53" s="20" t="s">
        <v>46</v>
      </c>
      <c r="H53" s="20" t="s">
        <v>46</v>
      </c>
      <c r="I53" s="20" t="str">
        <f t="shared" si="1"/>
        <v>E3a_1500</v>
      </c>
      <c r="J53" s="20"/>
      <c r="K53" s="20" t="s">
        <v>121</v>
      </c>
      <c r="L53" s="20"/>
      <c r="M53" s="20"/>
      <c r="N53" s="20"/>
      <c r="O53" s="20" t="s">
        <v>46</v>
      </c>
      <c r="P53" s="20"/>
      <c r="Q53" s="20"/>
      <c r="R53" s="20"/>
      <c r="S53" s="20" t="s">
        <v>143</v>
      </c>
      <c r="T53" s="20">
        <v>1500</v>
      </c>
      <c r="U53" s="20" t="s">
        <v>144</v>
      </c>
      <c r="V53" s="20"/>
      <c r="W53" s="20" t="str">
        <f t="shared" si="2"/>
        <v>E3a_1500</v>
      </c>
      <c r="X53" s="20" t="s">
        <v>145</v>
      </c>
      <c r="Y53" s="20" t="s">
        <v>146</v>
      </c>
      <c r="Z53" s="20" t="s">
        <v>147</v>
      </c>
      <c r="AA53" s="20" t="s">
        <v>139</v>
      </c>
      <c r="AB53" s="20">
        <v>137</v>
      </c>
    </row>
    <row r="54" spans="1:28" ht="31.9" customHeight="1" x14ac:dyDescent="0.2">
      <c r="A54">
        <v>104</v>
      </c>
      <c r="B54" t="s">
        <v>152</v>
      </c>
      <c r="C54" s="32" t="s">
        <v>153</v>
      </c>
      <c r="D54" s="32"/>
      <c r="E54" s="20"/>
      <c r="F54" s="20" t="s">
        <v>138</v>
      </c>
      <c r="G54" s="20" t="s">
        <v>46</v>
      </c>
      <c r="H54" s="20" t="s">
        <v>46</v>
      </c>
      <c r="I54" s="20" t="str">
        <f t="shared" si="1"/>
        <v>E3a_2000</v>
      </c>
      <c r="J54" s="20"/>
      <c r="K54" s="20" t="s">
        <v>121</v>
      </c>
      <c r="L54" s="20"/>
      <c r="M54" s="20"/>
      <c r="N54" s="20"/>
      <c r="O54" s="20" t="s">
        <v>46</v>
      </c>
      <c r="P54" s="20"/>
      <c r="Q54" s="20"/>
      <c r="R54" s="20"/>
      <c r="S54" s="20" t="s">
        <v>143</v>
      </c>
      <c r="T54" s="20">
        <v>2000</v>
      </c>
      <c r="U54" s="20" t="s">
        <v>144</v>
      </c>
      <c r="V54" s="20"/>
      <c r="W54" s="20" t="str">
        <f t="shared" si="2"/>
        <v>E3a_2000</v>
      </c>
      <c r="X54" s="20" t="s">
        <v>145</v>
      </c>
      <c r="Y54" s="20" t="s">
        <v>146</v>
      </c>
      <c r="Z54" s="20" t="s">
        <v>147</v>
      </c>
      <c r="AA54" s="20" t="s">
        <v>139</v>
      </c>
      <c r="AB54" s="20">
        <v>137</v>
      </c>
    </row>
    <row r="55" spans="1:28" ht="31.9" customHeight="1" x14ac:dyDescent="0.2">
      <c r="A55">
        <v>105</v>
      </c>
      <c r="B55" t="s">
        <v>154</v>
      </c>
      <c r="C55" s="32" t="s">
        <v>155</v>
      </c>
      <c r="D55" s="32"/>
      <c r="E55" s="20"/>
      <c r="F55" s="20" t="s">
        <v>138</v>
      </c>
      <c r="G55" s="20" t="s">
        <v>46</v>
      </c>
      <c r="H55" s="20" t="s">
        <v>46</v>
      </c>
      <c r="I55" s="20" t="str">
        <f t="shared" si="1"/>
        <v>E3a_2500</v>
      </c>
      <c r="J55" s="20"/>
      <c r="K55" s="20" t="s">
        <v>121</v>
      </c>
      <c r="L55" s="20"/>
      <c r="M55" s="20"/>
      <c r="N55" s="20"/>
      <c r="O55" s="20" t="s">
        <v>46</v>
      </c>
      <c r="P55" s="20"/>
      <c r="Q55" s="20"/>
      <c r="R55" s="20"/>
      <c r="S55" s="20" t="s">
        <v>143</v>
      </c>
      <c r="T55" s="20">
        <v>2500</v>
      </c>
      <c r="U55" s="20" t="s">
        <v>144</v>
      </c>
      <c r="V55" s="20"/>
      <c r="W55" s="20" t="str">
        <f t="shared" si="2"/>
        <v>E3a_2500</v>
      </c>
      <c r="X55" s="20" t="s">
        <v>145</v>
      </c>
      <c r="Y55" s="20" t="s">
        <v>146</v>
      </c>
      <c r="Z55" s="20" t="s">
        <v>147</v>
      </c>
      <c r="AA55" s="20" t="s">
        <v>139</v>
      </c>
      <c r="AB55" s="20">
        <v>137</v>
      </c>
    </row>
    <row r="56" spans="1:28" ht="31.9" customHeight="1" x14ac:dyDescent="0.2">
      <c r="A56">
        <v>106</v>
      </c>
      <c r="B56" t="s">
        <v>156</v>
      </c>
      <c r="C56" s="32" t="s">
        <v>157</v>
      </c>
      <c r="D56" s="32"/>
      <c r="E56" s="20"/>
      <c r="F56" s="20" t="s">
        <v>138</v>
      </c>
      <c r="G56" s="20" t="s">
        <v>46</v>
      </c>
      <c r="H56" s="20" t="s">
        <v>46</v>
      </c>
      <c r="I56" s="20" t="str">
        <f t="shared" si="1"/>
        <v>E3a_3000</v>
      </c>
      <c r="J56" s="20"/>
      <c r="K56" s="20" t="s">
        <v>121</v>
      </c>
      <c r="L56" s="20"/>
      <c r="M56" s="20"/>
      <c r="N56" s="20"/>
      <c r="O56" s="20" t="s">
        <v>46</v>
      </c>
      <c r="P56" s="20"/>
      <c r="Q56" s="20"/>
      <c r="R56" s="20"/>
      <c r="S56" s="20" t="s">
        <v>143</v>
      </c>
      <c r="T56" s="20">
        <v>3000</v>
      </c>
      <c r="U56" s="20" t="s">
        <v>144</v>
      </c>
      <c r="V56" s="20"/>
      <c r="W56" s="20" t="str">
        <f t="shared" si="2"/>
        <v>E3a_3000</v>
      </c>
      <c r="X56" s="20" t="s">
        <v>145</v>
      </c>
      <c r="Y56" s="20" t="s">
        <v>146</v>
      </c>
      <c r="Z56" s="20" t="s">
        <v>147</v>
      </c>
      <c r="AA56" s="20" t="s">
        <v>139</v>
      </c>
      <c r="AB56" s="20">
        <v>137</v>
      </c>
    </row>
    <row r="57" spans="1:28" ht="31.9" customHeight="1" x14ac:dyDescent="0.2">
      <c r="A57">
        <v>107</v>
      </c>
      <c r="B57" t="s">
        <v>158</v>
      </c>
      <c r="C57" s="32" t="s">
        <v>159</v>
      </c>
      <c r="D57" s="32"/>
      <c r="E57" s="20"/>
      <c r="F57" s="20" t="s">
        <v>138</v>
      </c>
      <c r="G57" s="20" t="s">
        <v>46</v>
      </c>
      <c r="H57" s="20" t="s">
        <v>46</v>
      </c>
      <c r="I57" s="20" t="str">
        <f t="shared" si="1"/>
        <v>E3a_3500</v>
      </c>
      <c r="J57" s="20"/>
      <c r="K57" s="20" t="s">
        <v>121</v>
      </c>
      <c r="L57" s="20"/>
      <c r="M57" s="20"/>
      <c r="N57" s="20"/>
      <c r="O57" s="20" t="s">
        <v>46</v>
      </c>
      <c r="P57" s="20"/>
      <c r="Q57" s="20"/>
      <c r="R57" s="20"/>
      <c r="S57" s="20" t="s">
        <v>143</v>
      </c>
      <c r="T57" s="20">
        <v>3500</v>
      </c>
      <c r="U57" s="20" t="s">
        <v>144</v>
      </c>
      <c r="V57" s="20"/>
      <c r="W57" s="20" t="str">
        <f t="shared" si="2"/>
        <v>E3a_3500</v>
      </c>
      <c r="X57" s="20" t="s">
        <v>145</v>
      </c>
      <c r="Y57" s="20" t="s">
        <v>146</v>
      </c>
      <c r="Z57" s="20" t="s">
        <v>147</v>
      </c>
      <c r="AA57" s="20" t="s">
        <v>139</v>
      </c>
      <c r="AB57" s="20">
        <v>137</v>
      </c>
    </row>
    <row r="58" spans="1:28" ht="31.9" customHeight="1" x14ac:dyDescent="0.2">
      <c r="A58">
        <v>108</v>
      </c>
      <c r="B58" t="s">
        <v>160</v>
      </c>
      <c r="C58" s="32" t="s">
        <v>161</v>
      </c>
      <c r="D58" s="32"/>
      <c r="E58" s="20"/>
      <c r="F58" s="20" t="s">
        <v>138</v>
      </c>
      <c r="G58" s="20" t="s">
        <v>46</v>
      </c>
      <c r="H58" s="20" t="s">
        <v>46</v>
      </c>
      <c r="I58" s="20" t="str">
        <f t="shared" si="1"/>
        <v>E3a_4000</v>
      </c>
      <c r="J58" s="20"/>
      <c r="K58" s="20" t="s">
        <v>121</v>
      </c>
      <c r="L58" s="20"/>
      <c r="M58" s="20"/>
      <c r="N58" s="20"/>
      <c r="O58" s="20" t="s">
        <v>46</v>
      </c>
      <c r="P58" s="20"/>
      <c r="Q58" s="20"/>
      <c r="R58" s="20"/>
      <c r="S58" s="20" t="s">
        <v>143</v>
      </c>
      <c r="T58" s="20">
        <v>4000</v>
      </c>
      <c r="U58" s="20" t="s">
        <v>144</v>
      </c>
      <c r="V58" s="20"/>
      <c r="W58" s="20" t="str">
        <f t="shared" si="2"/>
        <v>E3a_4000</v>
      </c>
      <c r="X58" s="20" t="s">
        <v>145</v>
      </c>
      <c r="Y58" s="20" t="s">
        <v>146</v>
      </c>
      <c r="Z58" s="20" t="s">
        <v>147</v>
      </c>
      <c r="AA58" s="20" t="s">
        <v>139</v>
      </c>
      <c r="AB58" s="20">
        <v>137</v>
      </c>
    </row>
    <row r="59" spans="1:28" ht="31.9" customHeight="1" x14ac:dyDescent="0.2">
      <c r="A59">
        <v>109</v>
      </c>
      <c r="B59" t="s">
        <v>162</v>
      </c>
      <c r="C59" s="32" t="s">
        <v>163</v>
      </c>
      <c r="D59" s="32"/>
      <c r="E59" s="20"/>
      <c r="F59" s="20" t="s">
        <v>138</v>
      </c>
      <c r="G59" s="20" t="s">
        <v>46</v>
      </c>
      <c r="H59" s="20" t="s">
        <v>46</v>
      </c>
      <c r="I59" s="20" t="str">
        <f t="shared" si="1"/>
        <v>E3a_4500</v>
      </c>
      <c r="J59" s="20"/>
      <c r="K59" s="20" t="s">
        <v>121</v>
      </c>
      <c r="L59" s="20"/>
      <c r="M59" s="20"/>
      <c r="N59" s="20"/>
      <c r="O59" s="20" t="s">
        <v>46</v>
      </c>
      <c r="P59" s="20"/>
      <c r="Q59" s="20"/>
      <c r="R59" s="20"/>
      <c r="S59" s="20" t="s">
        <v>143</v>
      </c>
      <c r="T59" s="20">
        <v>4500</v>
      </c>
      <c r="U59" s="20" t="s">
        <v>144</v>
      </c>
      <c r="V59" s="20"/>
      <c r="W59" s="20" t="str">
        <f t="shared" si="2"/>
        <v>E3a_4500</v>
      </c>
      <c r="X59" s="20" t="s">
        <v>145</v>
      </c>
      <c r="Y59" s="20" t="s">
        <v>146</v>
      </c>
      <c r="Z59" s="20" t="s">
        <v>147</v>
      </c>
      <c r="AA59" s="20" t="s">
        <v>139</v>
      </c>
      <c r="AB59" s="20">
        <v>137</v>
      </c>
    </row>
    <row r="60" spans="1:28" ht="31.9" customHeight="1" x14ac:dyDescent="0.2">
      <c r="A60">
        <v>110</v>
      </c>
      <c r="B60" t="s">
        <v>164</v>
      </c>
      <c r="C60" s="32" t="s">
        <v>165</v>
      </c>
      <c r="D60" s="32"/>
      <c r="E60" s="20"/>
      <c r="F60" s="20" t="s">
        <v>138</v>
      </c>
      <c r="G60" s="20" t="s">
        <v>46</v>
      </c>
      <c r="H60" s="20" t="s">
        <v>46</v>
      </c>
      <c r="I60" s="20" t="str">
        <f t="shared" si="1"/>
        <v>E3a_5000</v>
      </c>
      <c r="J60" s="20"/>
      <c r="K60" s="20" t="s">
        <v>121</v>
      </c>
      <c r="L60" s="20"/>
      <c r="M60" s="20"/>
      <c r="N60" s="20"/>
      <c r="O60" s="20" t="s">
        <v>46</v>
      </c>
      <c r="P60" s="20"/>
      <c r="Q60" s="20"/>
      <c r="R60" s="20"/>
      <c r="S60" s="20" t="s">
        <v>143</v>
      </c>
      <c r="T60" s="20">
        <v>5000</v>
      </c>
      <c r="U60" s="20" t="s">
        <v>144</v>
      </c>
      <c r="V60" s="20"/>
      <c r="W60" s="20" t="str">
        <f t="shared" si="2"/>
        <v>E3a_5000</v>
      </c>
      <c r="X60" s="20" t="s">
        <v>145</v>
      </c>
      <c r="Y60" s="20" t="s">
        <v>146</v>
      </c>
      <c r="Z60" s="20" t="s">
        <v>147</v>
      </c>
      <c r="AA60" s="20" t="s">
        <v>139</v>
      </c>
      <c r="AB60" s="20">
        <v>137</v>
      </c>
    </row>
    <row r="61" spans="1:28" ht="31.9" customHeight="1" x14ac:dyDescent="0.2">
      <c r="A61">
        <v>111</v>
      </c>
      <c r="B61" t="s">
        <v>166</v>
      </c>
      <c r="C61" s="32" t="s">
        <v>167</v>
      </c>
      <c r="D61" s="32"/>
      <c r="E61" s="20"/>
      <c r="F61" s="20" t="s">
        <v>138</v>
      </c>
      <c r="G61" s="20" t="s">
        <v>46</v>
      </c>
      <c r="H61" s="20" t="s">
        <v>46</v>
      </c>
      <c r="I61" s="20" t="str">
        <f t="shared" si="1"/>
        <v>E3a_5500</v>
      </c>
      <c r="J61" s="20"/>
      <c r="K61" s="20" t="s">
        <v>121</v>
      </c>
      <c r="L61" s="20"/>
      <c r="M61" s="20"/>
      <c r="N61" s="20"/>
      <c r="O61" s="20" t="s">
        <v>46</v>
      </c>
      <c r="P61" s="20"/>
      <c r="Q61" s="20"/>
      <c r="R61" s="20"/>
      <c r="S61" s="20" t="s">
        <v>143</v>
      </c>
      <c r="T61" s="20">
        <v>5500</v>
      </c>
      <c r="U61" s="20" t="s">
        <v>144</v>
      </c>
      <c r="V61" s="20"/>
      <c r="W61" s="20" t="str">
        <f t="shared" si="2"/>
        <v>E3a_5500</v>
      </c>
      <c r="X61" s="20" t="s">
        <v>145</v>
      </c>
      <c r="Y61" s="20" t="s">
        <v>146</v>
      </c>
      <c r="Z61" s="20" t="s">
        <v>147</v>
      </c>
      <c r="AA61" s="20" t="s">
        <v>139</v>
      </c>
      <c r="AB61" s="20">
        <v>137</v>
      </c>
    </row>
    <row r="62" spans="1:28" ht="31.9" customHeight="1" x14ac:dyDescent="0.2">
      <c r="A62">
        <v>112</v>
      </c>
      <c r="B62" t="s">
        <v>168</v>
      </c>
      <c r="C62" s="32" t="s">
        <v>169</v>
      </c>
      <c r="D62" s="32"/>
      <c r="E62" s="20"/>
      <c r="F62" s="20" t="s">
        <v>138</v>
      </c>
      <c r="G62" s="20" t="s">
        <v>46</v>
      </c>
      <c r="H62" s="20" t="s">
        <v>46</v>
      </c>
      <c r="I62" s="20" t="str">
        <f t="shared" si="1"/>
        <v>E3a_6000</v>
      </c>
      <c r="J62" s="20"/>
      <c r="K62" s="20" t="s">
        <v>121</v>
      </c>
      <c r="L62" s="20"/>
      <c r="M62" s="20"/>
      <c r="N62" s="20"/>
      <c r="O62" s="20" t="s">
        <v>46</v>
      </c>
      <c r="P62" s="20"/>
      <c r="Q62" s="20"/>
      <c r="R62" s="20"/>
      <c r="S62" s="20" t="s">
        <v>143</v>
      </c>
      <c r="T62" s="20">
        <v>6000</v>
      </c>
      <c r="U62" s="20" t="s">
        <v>144</v>
      </c>
      <c r="V62" s="20"/>
      <c r="W62" s="20" t="str">
        <f t="shared" si="2"/>
        <v>E3a_6000</v>
      </c>
      <c r="X62" s="20" t="s">
        <v>145</v>
      </c>
      <c r="Y62" s="20" t="s">
        <v>146</v>
      </c>
      <c r="Z62" s="20" t="s">
        <v>147</v>
      </c>
      <c r="AA62" s="20" t="s">
        <v>139</v>
      </c>
      <c r="AB62" s="20">
        <v>137</v>
      </c>
    </row>
    <row r="63" spans="1:28" ht="31.9" customHeight="1" x14ac:dyDescent="0.2">
      <c r="A63">
        <v>113</v>
      </c>
      <c r="B63" t="s">
        <v>170</v>
      </c>
      <c r="C63" s="32" t="s">
        <v>171</v>
      </c>
      <c r="D63" s="32"/>
      <c r="E63" s="20"/>
      <c r="F63" s="20" t="s">
        <v>138</v>
      </c>
      <c r="G63" s="20" t="s">
        <v>46</v>
      </c>
      <c r="H63" s="20" t="s">
        <v>46</v>
      </c>
      <c r="I63" s="20" t="str">
        <f t="shared" si="1"/>
        <v>E3a_6500</v>
      </c>
      <c r="J63" s="20"/>
      <c r="K63" s="20" t="s">
        <v>121</v>
      </c>
      <c r="L63" s="20"/>
      <c r="M63" s="20"/>
      <c r="N63" s="20"/>
      <c r="O63" s="20" t="s">
        <v>46</v>
      </c>
      <c r="P63" s="20"/>
      <c r="Q63" s="20"/>
      <c r="R63" s="20"/>
      <c r="S63" s="20" t="s">
        <v>143</v>
      </c>
      <c r="T63" s="20">
        <v>6500</v>
      </c>
      <c r="U63" s="20" t="s">
        <v>144</v>
      </c>
      <c r="V63" s="20"/>
      <c r="W63" s="20" t="str">
        <f t="shared" si="2"/>
        <v>E3a_6500</v>
      </c>
      <c r="X63" s="20" t="s">
        <v>145</v>
      </c>
      <c r="Y63" s="20" t="s">
        <v>146</v>
      </c>
      <c r="Z63" s="20" t="s">
        <v>147</v>
      </c>
      <c r="AA63" s="20" t="s">
        <v>139</v>
      </c>
      <c r="AB63" s="20">
        <v>137</v>
      </c>
    </row>
    <row r="64" spans="1:28" ht="31.9" customHeight="1" x14ac:dyDescent="0.2">
      <c r="A64" s="30">
        <v>114</v>
      </c>
      <c r="B64" s="31" t="s">
        <v>172</v>
      </c>
      <c r="C64" s="32" t="s">
        <v>173</v>
      </c>
      <c r="D64" s="32"/>
      <c r="E64" s="20"/>
      <c r="F64" s="20" t="s">
        <v>138</v>
      </c>
      <c r="G64" s="20" t="s">
        <v>46</v>
      </c>
      <c r="H64" s="20" t="s">
        <v>46</v>
      </c>
      <c r="I64" s="20" t="str">
        <f t="shared" si="1"/>
        <v>E3a_7000</v>
      </c>
      <c r="J64" s="20"/>
      <c r="K64" s="20" t="s">
        <v>121</v>
      </c>
      <c r="L64" s="20"/>
      <c r="M64" s="20"/>
      <c r="N64" s="20"/>
      <c r="O64" s="20" t="s">
        <v>46</v>
      </c>
      <c r="P64" s="20"/>
      <c r="Q64" s="20"/>
      <c r="R64" s="20"/>
      <c r="S64" s="20" t="s">
        <v>143</v>
      </c>
      <c r="T64" s="20">
        <v>7000</v>
      </c>
      <c r="U64" s="20" t="s">
        <v>144</v>
      </c>
      <c r="V64" s="20"/>
      <c r="W64" s="20" t="str">
        <f t="shared" si="2"/>
        <v>E3a_7000</v>
      </c>
      <c r="X64" s="20" t="s">
        <v>145</v>
      </c>
      <c r="Y64" s="20" t="s">
        <v>146</v>
      </c>
      <c r="Z64" s="20" t="s">
        <v>147</v>
      </c>
      <c r="AA64" s="20" t="s">
        <v>139</v>
      </c>
      <c r="AB64" s="20">
        <v>137</v>
      </c>
    </row>
    <row r="65" spans="1:28" ht="31.9" customHeight="1" x14ac:dyDescent="0.2">
      <c r="A65">
        <v>115</v>
      </c>
      <c r="B65" t="s">
        <v>174</v>
      </c>
      <c r="C65" s="32" t="s">
        <v>175</v>
      </c>
      <c r="D65" s="32"/>
      <c r="E65" s="20"/>
      <c r="F65" s="20" t="s">
        <v>138</v>
      </c>
      <c r="G65" s="20" t="s">
        <v>46</v>
      </c>
      <c r="H65" s="20" t="s">
        <v>46</v>
      </c>
      <c r="I65" s="20" t="str">
        <f t="shared" si="1"/>
        <v>E3a_7500</v>
      </c>
      <c r="J65" s="20"/>
      <c r="K65" s="20" t="s">
        <v>121</v>
      </c>
      <c r="L65" s="20"/>
      <c r="M65" s="20"/>
      <c r="N65" s="20"/>
      <c r="O65" s="20" t="s">
        <v>46</v>
      </c>
      <c r="P65" s="20"/>
      <c r="Q65" s="20"/>
      <c r="R65" s="20"/>
      <c r="S65" s="20" t="s">
        <v>143</v>
      </c>
      <c r="T65" s="20">
        <v>7500</v>
      </c>
      <c r="U65" s="20" t="s">
        <v>144</v>
      </c>
      <c r="V65" s="20"/>
      <c r="W65" s="20" t="str">
        <f t="shared" si="2"/>
        <v>E3a_7500</v>
      </c>
      <c r="X65" s="20" t="s">
        <v>145</v>
      </c>
      <c r="Y65" s="20" t="s">
        <v>146</v>
      </c>
      <c r="Z65" s="20" t="s">
        <v>147</v>
      </c>
      <c r="AA65" s="20" t="s">
        <v>139</v>
      </c>
      <c r="AB65" s="20">
        <v>137</v>
      </c>
    </row>
    <row r="66" spans="1:28" ht="31.9" customHeight="1" x14ac:dyDescent="0.2">
      <c r="A66">
        <v>116</v>
      </c>
      <c r="B66" t="s">
        <v>176</v>
      </c>
      <c r="C66" s="32" t="s">
        <v>149</v>
      </c>
      <c r="D66" s="32"/>
      <c r="E66" s="20"/>
      <c r="F66" s="20" t="s">
        <v>138</v>
      </c>
      <c r="G66" s="20" t="s">
        <v>46</v>
      </c>
      <c r="H66" s="20" t="s">
        <v>46</v>
      </c>
      <c r="I66" s="20" t="str">
        <f t="shared" si="1"/>
        <v>E3a_8000</v>
      </c>
      <c r="J66" s="20"/>
      <c r="K66" s="20" t="s">
        <v>121</v>
      </c>
      <c r="L66" s="20"/>
      <c r="M66" s="20"/>
      <c r="N66" s="20"/>
      <c r="O66" s="20" t="s">
        <v>46</v>
      </c>
      <c r="P66" s="20"/>
      <c r="Q66" s="20"/>
      <c r="R66" s="20"/>
      <c r="S66" s="20" t="s">
        <v>143</v>
      </c>
      <c r="T66" s="20">
        <v>8000</v>
      </c>
      <c r="U66" s="20" t="s">
        <v>144</v>
      </c>
      <c r="V66" s="20"/>
      <c r="W66" s="20" t="str">
        <f t="shared" si="2"/>
        <v>E3a_8000</v>
      </c>
      <c r="X66" s="20" t="s">
        <v>145</v>
      </c>
      <c r="Y66" s="20" t="s">
        <v>146</v>
      </c>
      <c r="Z66" s="20" t="s">
        <v>147</v>
      </c>
      <c r="AA66" s="20" t="s">
        <v>139</v>
      </c>
      <c r="AB66" s="20">
        <v>137</v>
      </c>
    </row>
    <row r="67" spans="1:28" ht="31.9" customHeight="1" x14ac:dyDescent="0.2">
      <c r="A67">
        <v>117</v>
      </c>
      <c r="B67" t="s">
        <v>177</v>
      </c>
      <c r="C67" s="32" t="s">
        <v>178</v>
      </c>
      <c r="D67" s="32"/>
      <c r="E67" s="20"/>
      <c r="F67" s="20" t="s">
        <v>138</v>
      </c>
      <c r="G67" s="20" t="s">
        <v>46</v>
      </c>
      <c r="H67" s="20" t="s">
        <v>46</v>
      </c>
      <c r="I67" s="20" t="str">
        <f t="shared" si="1"/>
        <v>E3a_8500</v>
      </c>
      <c r="J67" s="20"/>
      <c r="K67" s="20" t="s">
        <v>121</v>
      </c>
      <c r="L67" s="20"/>
      <c r="M67" s="20"/>
      <c r="N67" s="20"/>
      <c r="O67" s="20" t="s">
        <v>46</v>
      </c>
      <c r="P67" s="20"/>
      <c r="Q67" s="20"/>
      <c r="R67" s="20"/>
      <c r="S67" s="20" t="s">
        <v>143</v>
      </c>
      <c r="T67" s="20">
        <v>8500</v>
      </c>
      <c r="U67" s="20" t="s">
        <v>144</v>
      </c>
      <c r="V67" s="20"/>
      <c r="W67" s="20" t="str">
        <f t="shared" si="2"/>
        <v>E3a_8500</v>
      </c>
      <c r="X67" s="20" t="s">
        <v>145</v>
      </c>
      <c r="Y67" s="20" t="s">
        <v>146</v>
      </c>
      <c r="Z67" s="20" t="s">
        <v>147</v>
      </c>
      <c r="AA67" s="20" t="s">
        <v>139</v>
      </c>
      <c r="AB67" s="20">
        <v>137</v>
      </c>
    </row>
    <row r="68" spans="1:28" ht="31.9" customHeight="1" x14ac:dyDescent="0.2">
      <c r="A68">
        <v>118</v>
      </c>
      <c r="B68" t="s">
        <v>179</v>
      </c>
      <c r="C68" s="32" t="s">
        <v>180</v>
      </c>
      <c r="D68" s="32"/>
      <c r="E68" s="20"/>
      <c r="F68" s="20" t="s">
        <v>138</v>
      </c>
      <c r="G68" s="20" t="s">
        <v>46</v>
      </c>
      <c r="H68" s="20" t="s">
        <v>46</v>
      </c>
      <c r="I68" s="20" t="str">
        <f t="shared" si="1"/>
        <v>E3a_9000</v>
      </c>
      <c r="J68" s="20"/>
      <c r="K68" s="20" t="s">
        <v>121</v>
      </c>
      <c r="L68" s="20"/>
      <c r="M68" s="20"/>
      <c r="N68" s="20"/>
      <c r="O68" s="20" t="s">
        <v>46</v>
      </c>
      <c r="P68" s="20"/>
      <c r="Q68" s="20"/>
      <c r="R68" s="20"/>
      <c r="S68" s="20" t="s">
        <v>143</v>
      </c>
      <c r="T68" s="20">
        <v>9000</v>
      </c>
      <c r="U68" s="20" t="s">
        <v>144</v>
      </c>
      <c r="V68" s="20"/>
      <c r="W68" s="20" t="str">
        <f t="shared" si="2"/>
        <v>E3a_9000</v>
      </c>
      <c r="X68" s="20" t="s">
        <v>145</v>
      </c>
      <c r="Y68" s="20" t="s">
        <v>146</v>
      </c>
      <c r="Z68" s="20" t="s">
        <v>147</v>
      </c>
      <c r="AA68" s="20" t="s">
        <v>139</v>
      </c>
      <c r="AB68" s="20">
        <v>137</v>
      </c>
    </row>
    <row r="69" spans="1:28" ht="31.9" customHeight="1" x14ac:dyDescent="0.2">
      <c r="A69">
        <v>119</v>
      </c>
      <c r="B69" t="s">
        <v>181</v>
      </c>
      <c r="C69" s="32" t="s">
        <v>182</v>
      </c>
      <c r="D69" s="32"/>
      <c r="E69" s="20"/>
      <c r="F69" s="20" t="s">
        <v>138</v>
      </c>
      <c r="G69" s="20" t="s">
        <v>46</v>
      </c>
      <c r="H69" s="20" t="s">
        <v>46</v>
      </c>
      <c r="I69" s="20" t="str">
        <f t="shared" si="1"/>
        <v>E3a_9500</v>
      </c>
      <c r="J69" s="20"/>
      <c r="K69" s="20" t="s">
        <v>121</v>
      </c>
      <c r="L69" s="20"/>
      <c r="M69" s="20"/>
      <c r="N69" s="20"/>
      <c r="O69" s="20" t="s">
        <v>46</v>
      </c>
      <c r="P69" s="20"/>
      <c r="Q69" s="20"/>
      <c r="R69" s="20"/>
      <c r="S69" s="20" t="s">
        <v>143</v>
      </c>
      <c r="T69" s="20">
        <v>9500</v>
      </c>
      <c r="U69" s="20" t="s">
        <v>144</v>
      </c>
      <c r="V69" s="20"/>
      <c r="W69" s="20" t="str">
        <f t="shared" si="2"/>
        <v>E3a_9500</v>
      </c>
      <c r="X69" s="20" t="s">
        <v>145</v>
      </c>
      <c r="Y69" s="20" t="s">
        <v>146</v>
      </c>
      <c r="Z69" s="20" t="s">
        <v>147</v>
      </c>
      <c r="AA69" s="20" t="s">
        <v>139</v>
      </c>
      <c r="AB69" s="20">
        <v>137</v>
      </c>
    </row>
    <row r="70" spans="1:28" ht="31.9" customHeight="1" x14ac:dyDescent="0.2">
      <c r="A70">
        <v>120</v>
      </c>
      <c r="B70" t="s">
        <v>183</v>
      </c>
      <c r="C70" s="32" t="s">
        <v>184</v>
      </c>
      <c r="D70" s="32"/>
      <c r="E70" s="20"/>
      <c r="F70" s="20" t="s">
        <v>138</v>
      </c>
      <c r="G70" s="20" t="s">
        <v>46</v>
      </c>
      <c r="H70" s="20" t="s">
        <v>46</v>
      </c>
      <c r="I70" s="20" t="str">
        <f t="shared" si="1"/>
        <v>E3a_10000</v>
      </c>
      <c r="J70" s="20"/>
      <c r="K70" s="20" t="s">
        <v>121</v>
      </c>
      <c r="L70" s="20"/>
      <c r="M70" s="20"/>
      <c r="N70" s="20"/>
      <c r="O70" s="20" t="s">
        <v>46</v>
      </c>
      <c r="P70" s="20"/>
      <c r="Q70" s="20"/>
      <c r="R70" s="20"/>
      <c r="S70" s="20" t="s">
        <v>143</v>
      </c>
      <c r="T70" s="20">
        <v>10000</v>
      </c>
      <c r="U70" s="20" t="s">
        <v>144</v>
      </c>
      <c r="V70" s="20"/>
      <c r="W70" s="20" t="str">
        <f t="shared" si="2"/>
        <v>E3a_10000</v>
      </c>
      <c r="X70" s="20" t="s">
        <v>145</v>
      </c>
      <c r="Y70" s="20" t="s">
        <v>146</v>
      </c>
      <c r="Z70" s="20" t="s">
        <v>147</v>
      </c>
      <c r="AA70" s="20" t="s">
        <v>139</v>
      </c>
      <c r="AB70" s="20">
        <v>137</v>
      </c>
    </row>
    <row r="71" spans="1:28" ht="31.9" customHeight="1" x14ac:dyDescent="0.2">
      <c r="A71">
        <v>121</v>
      </c>
      <c r="B71" t="s">
        <v>185</v>
      </c>
      <c r="C71" s="32" t="s">
        <v>186</v>
      </c>
      <c r="D71" s="32"/>
      <c r="E71" s="20"/>
      <c r="F71" s="20" t="s">
        <v>138</v>
      </c>
      <c r="G71" s="20" t="s">
        <v>46</v>
      </c>
      <c r="H71" s="20" t="s">
        <v>46</v>
      </c>
      <c r="I71" s="20" t="str">
        <f t="shared" ref="I71:I110" si="3">B71</f>
        <v>E4_500</v>
      </c>
      <c r="J71" s="20"/>
      <c r="K71" s="20" t="s">
        <v>121</v>
      </c>
      <c r="L71" s="20"/>
      <c r="M71" s="20"/>
      <c r="N71" s="20"/>
      <c r="O71" s="20" t="s">
        <v>46</v>
      </c>
      <c r="P71" s="20"/>
      <c r="Q71" s="20"/>
      <c r="R71" s="20"/>
      <c r="S71" s="20" t="s">
        <v>187</v>
      </c>
      <c r="T71" s="20">
        <v>500</v>
      </c>
      <c r="U71" s="20" t="s">
        <v>144</v>
      </c>
      <c r="V71" s="20"/>
      <c r="W71" s="20" t="str">
        <f t="shared" si="2"/>
        <v>E4_500</v>
      </c>
      <c r="X71" s="20" t="s">
        <v>188</v>
      </c>
      <c r="Y71" s="20" t="s">
        <v>146</v>
      </c>
      <c r="Z71" s="20" t="s">
        <v>189</v>
      </c>
      <c r="AA71" s="20" t="s">
        <v>139</v>
      </c>
      <c r="AB71" s="20">
        <v>138</v>
      </c>
    </row>
    <row r="72" spans="1:28" ht="31.9" customHeight="1" x14ac:dyDescent="0.2">
      <c r="A72">
        <v>122</v>
      </c>
      <c r="B72" t="s">
        <v>190</v>
      </c>
      <c r="C72" s="32" t="s">
        <v>191</v>
      </c>
      <c r="D72" s="32"/>
      <c r="E72" s="20"/>
      <c r="F72" s="20" t="s">
        <v>138</v>
      </c>
      <c r="G72" s="20" t="s">
        <v>46</v>
      </c>
      <c r="H72" s="20" t="s">
        <v>46</v>
      </c>
      <c r="I72" s="20" t="str">
        <f t="shared" si="3"/>
        <v>E4_1000</v>
      </c>
      <c r="J72" s="20"/>
      <c r="K72" s="20" t="s">
        <v>121</v>
      </c>
      <c r="L72" s="20"/>
      <c r="M72" s="20"/>
      <c r="N72" s="20"/>
      <c r="O72" s="20" t="s">
        <v>46</v>
      </c>
      <c r="P72" s="20"/>
      <c r="Q72" s="20"/>
      <c r="R72" s="20"/>
      <c r="S72" s="20" t="s">
        <v>187</v>
      </c>
      <c r="T72" s="20">
        <v>1000</v>
      </c>
      <c r="U72" s="20" t="s">
        <v>144</v>
      </c>
      <c r="V72" s="20"/>
      <c r="W72" s="20" t="str">
        <f t="shared" si="2"/>
        <v>E4_1000</v>
      </c>
      <c r="X72" s="20" t="s">
        <v>188</v>
      </c>
      <c r="Y72" s="20" t="s">
        <v>146</v>
      </c>
      <c r="Z72" s="20" t="s">
        <v>189</v>
      </c>
      <c r="AA72" s="20" t="s">
        <v>139</v>
      </c>
      <c r="AB72" s="20">
        <v>138</v>
      </c>
    </row>
    <row r="73" spans="1:28" ht="31.9" customHeight="1" x14ac:dyDescent="0.2">
      <c r="A73">
        <v>123</v>
      </c>
      <c r="B73" t="s">
        <v>192</v>
      </c>
      <c r="C73" s="32" t="s">
        <v>193</v>
      </c>
      <c r="D73" s="32"/>
      <c r="E73" s="20"/>
      <c r="F73" s="20" t="s">
        <v>138</v>
      </c>
      <c r="G73" s="20" t="s">
        <v>46</v>
      </c>
      <c r="H73" s="20" t="s">
        <v>46</v>
      </c>
      <c r="I73" s="20" t="str">
        <f t="shared" si="3"/>
        <v>E4_1500</v>
      </c>
      <c r="J73" s="20"/>
      <c r="K73" s="20" t="s">
        <v>121</v>
      </c>
      <c r="L73" s="20"/>
      <c r="M73" s="20"/>
      <c r="N73" s="20"/>
      <c r="O73" s="20" t="s">
        <v>46</v>
      </c>
      <c r="P73" s="20"/>
      <c r="Q73" s="20"/>
      <c r="R73" s="20"/>
      <c r="S73" s="20" t="s">
        <v>187</v>
      </c>
      <c r="T73" s="20">
        <v>1500</v>
      </c>
      <c r="U73" s="20" t="s">
        <v>144</v>
      </c>
      <c r="V73" s="20"/>
      <c r="W73" s="20" t="str">
        <f t="shared" si="2"/>
        <v>E4_1500</v>
      </c>
      <c r="X73" s="20" t="s">
        <v>188</v>
      </c>
      <c r="Y73" s="20" t="s">
        <v>146</v>
      </c>
      <c r="Z73" s="20" t="s">
        <v>189</v>
      </c>
      <c r="AA73" s="20" t="s">
        <v>139</v>
      </c>
      <c r="AB73" s="20">
        <v>138</v>
      </c>
    </row>
    <row r="74" spans="1:28" ht="31.9" customHeight="1" x14ac:dyDescent="0.2">
      <c r="A74">
        <v>124</v>
      </c>
      <c r="B74" t="s">
        <v>194</v>
      </c>
      <c r="C74" s="32" t="s">
        <v>195</v>
      </c>
      <c r="D74" s="32"/>
      <c r="E74" s="20"/>
      <c r="F74" s="20" t="s">
        <v>138</v>
      </c>
      <c r="G74" s="20" t="s">
        <v>46</v>
      </c>
      <c r="H74" s="20" t="s">
        <v>46</v>
      </c>
      <c r="I74" s="20" t="str">
        <f t="shared" si="3"/>
        <v>E4_2000</v>
      </c>
      <c r="J74" s="20"/>
      <c r="K74" s="20" t="s">
        <v>121</v>
      </c>
      <c r="L74" s="20"/>
      <c r="M74" s="20"/>
      <c r="N74" s="20"/>
      <c r="O74" s="20" t="s">
        <v>46</v>
      </c>
      <c r="P74" s="20"/>
      <c r="Q74" s="20"/>
      <c r="R74" s="20"/>
      <c r="S74" s="20" t="s">
        <v>187</v>
      </c>
      <c r="T74" s="20">
        <v>2000</v>
      </c>
      <c r="U74" s="20" t="s">
        <v>144</v>
      </c>
      <c r="V74" s="20"/>
      <c r="W74" s="20" t="str">
        <f t="shared" si="2"/>
        <v>E4_2000</v>
      </c>
      <c r="X74" s="20" t="s">
        <v>188</v>
      </c>
      <c r="Y74" s="20" t="s">
        <v>146</v>
      </c>
      <c r="Z74" s="20" t="s">
        <v>189</v>
      </c>
      <c r="AA74" s="20" t="s">
        <v>139</v>
      </c>
      <c r="AB74" s="20">
        <v>138</v>
      </c>
    </row>
    <row r="75" spans="1:28" ht="31.9" customHeight="1" x14ac:dyDescent="0.2">
      <c r="A75">
        <v>125</v>
      </c>
      <c r="B75" t="s">
        <v>196</v>
      </c>
      <c r="C75" s="32" t="s">
        <v>197</v>
      </c>
      <c r="D75" s="32"/>
      <c r="E75" s="20"/>
      <c r="F75" s="20" t="s">
        <v>138</v>
      </c>
      <c r="G75" s="20" t="s">
        <v>46</v>
      </c>
      <c r="H75" s="20" t="s">
        <v>46</v>
      </c>
      <c r="I75" s="20" t="str">
        <f t="shared" si="3"/>
        <v>E4_2500</v>
      </c>
      <c r="J75" s="20"/>
      <c r="K75" s="20" t="s">
        <v>121</v>
      </c>
      <c r="L75" s="20"/>
      <c r="M75" s="20"/>
      <c r="N75" s="20"/>
      <c r="O75" s="20" t="s">
        <v>46</v>
      </c>
      <c r="P75" s="20"/>
      <c r="Q75" s="20"/>
      <c r="R75" s="20"/>
      <c r="S75" s="20" t="s">
        <v>187</v>
      </c>
      <c r="T75" s="20">
        <v>2500</v>
      </c>
      <c r="U75" s="20" t="s">
        <v>144</v>
      </c>
      <c r="V75" s="20"/>
      <c r="W75" s="20" t="str">
        <f t="shared" si="2"/>
        <v>E4_2500</v>
      </c>
      <c r="X75" s="20" t="s">
        <v>188</v>
      </c>
      <c r="Y75" s="20" t="s">
        <v>146</v>
      </c>
      <c r="Z75" s="20" t="s">
        <v>189</v>
      </c>
      <c r="AA75" s="20" t="s">
        <v>139</v>
      </c>
      <c r="AB75" s="20">
        <v>138</v>
      </c>
    </row>
    <row r="76" spans="1:28" ht="31.9" customHeight="1" x14ac:dyDescent="0.2">
      <c r="A76">
        <v>126</v>
      </c>
      <c r="B76" t="s">
        <v>198</v>
      </c>
      <c r="C76" s="32" t="s">
        <v>199</v>
      </c>
      <c r="D76" s="32"/>
      <c r="E76" s="20"/>
      <c r="F76" s="20" t="s">
        <v>138</v>
      </c>
      <c r="G76" s="20" t="s">
        <v>46</v>
      </c>
      <c r="H76" s="20" t="s">
        <v>46</v>
      </c>
      <c r="I76" s="20" t="str">
        <f t="shared" si="3"/>
        <v>E4_3000</v>
      </c>
      <c r="J76" s="20"/>
      <c r="K76" s="20" t="s">
        <v>121</v>
      </c>
      <c r="L76" s="20"/>
      <c r="M76" s="20"/>
      <c r="N76" s="20"/>
      <c r="O76" s="20" t="s">
        <v>46</v>
      </c>
      <c r="P76" s="20"/>
      <c r="Q76" s="20"/>
      <c r="R76" s="20"/>
      <c r="S76" s="20" t="s">
        <v>187</v>
      </c>
      <c r="T76" s="20">
        <v>3000</v>
      </c>
      <c r="U76" s="20" t="s">
        <v>144</v>
      </c>
      <c r="V76" s="20"/>
      <c r="W76" s="20" t="str">
        <f t="shared" si="2"/>
        <v>E4_3000</v>
      </c>
      <c r="X76" s="20" t="s">
        <v>188</v>
      </c>
      <c r="Y76" s="20" t="s">
        <v>146</v>
      </c>
      <c r="Z76" s="20" t="s">
        <v>189</v>
      </c>
      <c r="AA76" s="20" t="s">
        <v>139</v>
      </c>
      <c r="AB76" s="20">
        <v>138</v>
      </c>
    </row>
    <row r="77" spans="1:28" ht="31.9" customHeight="1" x14ac:dyDescent="0.2">
      <c r="A77">
        <v>127</v>
      </c>
      <c r="B77" t="s">
        <v>200</v>
      </c>
      <c r="C77" s="32" t="s">
        <v>201</v>
      </c>
      <c r="D77" s="32"/>
      <c r="E77" s="20"/>
      <c r="F77" s="20" t="s">
        <v>138</v>
      </c>
      <c r="G77" s="20" t="s">
        <v>46</v>
      </c>
      <c r="H77" s="20" t="s">
        <v>46</v>
      </c>
      <c r="I77" s="20" t="str">
        <f t="shared" si="3"/>
        <v>E4_3500</v>
      </c>
      <c r="J77" s="20"/>
      <c r="K77" s="20" t="s">
        <v>121</v>
      </c>
      <c r="L77" s="20"/>
      <c r="M77" s="20"/>
      <c r="N77" s="20"/>
      <c r="O77" s="20" t="s">
        <v>46</v>
      </c>
      <c r="P77" s="20"/>
      <c r="Q77" s="20"/>
      <c r="R77" s="20"/>
      <c r="S77" s="20" t="s">
        <v>187</v>
      </c>
      <c r="T77" s="20">
        <v>3500</v>
      </c>
      <c r="U77" s="20" t="s">
        <v>144</v>
      </c>
      <c r="V77" s="20"/>
      <c r="W77" s="20" t="str">
        <f t="shared" si="2"/>
        <v>E4_3500</v>
      </c>
      <c r="X77" s="20" t="s">
        <v>188</v>
      </c>
      <c r="Y77" s="20" t="s">
        <v>146</v>
      </c>
      <c r="Z77" s="20" t="s">
        <v>189</v>
      </c>
      <c r="AA77" s="20" t="s">
        <v>139</v>
      </c>
      <c r="AB77" s="20">
        <v>138</v>
      </c>
    </row>
    <row r="78" spans="1:28" ht="31.9" customHeight="1" x14ac:dyDescent="0.2">
      <c r="A78">
        <v>128</v>
      </c>
      <c r="B78" t="s">
        <v>202</v>
      </c>
      <c r="C78" s="32" t="s">
        <v>203</v>
      </c>
      <c r="D78" s="32"/>
      <c r="E78" s="20"/>
      <c r="F78" s="20" t="s">
        <v>138</v>
      </c>
      <c r="G78" s="20" t="s">
        <v>46</v>
      </c>
      <c r="H78" s="20" t="s">
        <v>46</v>
      </c>
      <c r="I78" s="20" t="str">
        <f t="shared" si="3"/>
        <v>E4_4000</v>
      </c>
      <c r="J78" s="20"/>
      <c r="K78" s="20" t="s">
        <v>121</v>
      </c>
      <c r="L78" s="20"/>
      <c r="M78" s="20"/>
      <c r="N78" s="20"/>
      <c r="O78" s="20" t="s">
        <v>46</v>
      </c>
      <c r="P78" s="20"/>
      <c r="Q78" s="20"/>
      <c r="R78" s="20"/>
      <c r="S78" s="20" t="s">
        <v>187</v>
      </c>
      <c r="T78" s="20">
        <v>4000</v>
      </c>
      <c r="U78" s="20" t="s">
        <v>144</v>
      </c>
      <c r="V78" s="20"/>
      <c r="W78" s="20" t="str">
        <f t="shared" si="2"/>
        <v>E4_4000</v>
      </c>
      <c r="X78" s="20" t="s">
        <v>188</v>
      </c>
      <c r="Y78" s="20" t="s">
        <v>146</v>
      </c>
      <c r="Z78" s="20" t="s">
        <v>189</v>
      </c>
      <c r="AA78" s="20" t="s">
        <v>139</v>
      </c>
      <c r="AB78" s="20">
        <v>138</v>
      </c>
    </row>
    <row r="79" spans="1:28" ht="31.9" customHeight="1" x14ac:dyDescent="0.2">
      <c r="A79">
        <v>129</v>
      </c>
      <c r="B79" t="s">
        <v>204</v>
      </c>
      <c r="C79" s="32" t="s">
        <v>205</v>
      </c>
      <c r="D79" s="32"/>
      <c r="E79" s="20"/>
      <c r="F79" s="20" t="s">
        <v>138</v>
      </c>
      <c r="G79" s="20" t="s">
        <v>46</v>
      </c>
      <c r="H79" s="20" t="s">
        <v>46</v>
      </c>
      <c r="I79" s="20" t="str">
        <f t="shared" si="3"/>
        <v>E4_4500</v>
      </c>
      <c r="J79" s="20"/>
      <c r="K79" s="20" t="s">
        <v>121</v>
      </c>
      <c r="L79" s="20"/>
      <c r="M79" s="20"/>
      <c r="N79" s="20"/>
      <c r="O79" s="20" t="s">
        <v>46</v>
      </c>
      <c r="P79" s="20"/>
      <c r="Q79" s="20"/>
      <c r="R79" s="20"/>
      <c r="S79" s="20" t="s">
        <v>187</v>
      </c>
      <c r="T79" s="20">
        <v>4500</v>
      </c>
      <c r="U79" s="20" t="s">
        <v>144</v>
      </c>
      <c r="V79" s="20"/>
      <c r="W79" s="20" t="str">
        <f t="shared" si="2"/>
        <v>E4_4500</v>
      </c>
      <c r="X79" s="20" t="s">
        <v>188</v>
      </c>
      <c r="Y79" s="20" t="s">
        <v>146</v>
      </c>
      <c r="Z79" s="20" t="s">
        <v>189</v>
      </c>
      <c r="AA79" s="20" t="s">
        <v>139</v>
      </c>
      <c r="AB79" s="20">
        <v>138</v>
      </c>
    </row>
    <row r="80" spans="1:28" ht="31.9" customHeight="1" x14ac:dyDescent="0.2">
      <c r="A80">
        <v>130</v>
      </c>
      <c r="B80" t="s">
        <v>206</v>
      </c>
      <c r="C80" s="32" t="s">
        <v>207</v>
      </c>
      <c r="D80" s="32"/>
      <c r="E80" s="20"/>
      <c r="F80" s="20" t="s">
        <v>138</v>
      </c>
      <c r="G80" s="20" t="s">
        <v>46</v>
      </c>
      <c r="H80" s="20" t="s">
        <v>46</v>
      </c>
      <c r="I80" s="20" t="str">
        <f t="shared" si="3"/>
        <v>E4_5000</v>
      </c>
      <c r="J80" s="20"/>
      <c r="K80" s="20" t="s">
        <v>121</v>
      </c>
      <c r="L80" s="20"/>
      <c r="M80" s="20"/>
      <c r="N80" s="20"/>
      <c r="O80" s="20" t="s">
        <v>46</v>
      </c>
      <c r="P80" s="20"/>
      <c r="Q80" s="20"/>
      <c r="R80" s="20"/>
      <c r="S80" s="20" t="s">
        <v>187</v>
      </c>
      <c r="T80" s="20">
        <v>5000</v>
      </c>
      <c r="U80" s="20" t="s">
        <v>144</v>
      </c>
      <c r="V80" s="20"/>
      <c r="W80" s="20" t="str">
        <f t="shared" si="2"/>
        <v>E4_5000</v>
      </c>
      <c r="X80" s="20" t="s">
        <v>188</v>
      </c>
      <c r="Y80" s="20" t="s">
        <v>146</v>
      </c>
      <c r="Z80" s="20" t="s">
        <v>189</v>
      </c>
      <c r="AA80" s="20" t="s">
        <v>139</v>
      </c>
      <c r="AB80" s="20">
        <v>138</v>
      </c>
    </row>
    <row r="81" spans="1:28" ht="31.9" customHeight="1" x14ac:dyDescent="0.2">
      <c r="A81">
        <v>131</v>
      </c>
      <c r="B81" t="s">
        <v>208</v>
      </c>
      <c r="C81" s="32" t="s">
        <v>209</v>
      </c>
      <c r="D81" s="32"/>
      <c r="E81" s="20"/>
      <c r="F81" s="20" t="s">
        <v>138</v>
      </c>
      <c r="G81" s="20" t="s">
        <v>46</v>
      </c>
      <c r="H81" s="20" t="s">
        <v>46</v>
      </c>
      <c r="I81" s="20" t="str">
        <f t="shared" si="3"/>
        <v>E4_5500</v>
      </c>
      <c r="J81" s="20"/>
      <c r="K81" s="20" t="s">
        <v>121</v>
      </c>
      <c r="L81" s="20"/>
      <c r="M81" s="20"/>
      <c r="N81" s="20"/>
      <c r="O81" s="20" t="s">
        <v>46</v>
      </c>
      <c r="P81" s="20"/>
      <c r="Q81" s="20"/>
      <c r="R81" s="20"/>
      <c r="S81" s="20" t="s">
        <v>187</v>
      </c>
      <c r="T81" s="20">
        <v>5500</v>
      </c>
      <c r="U81" s="20" t="s">
        <v>144</v>
      </c>
      <c r="V81" s="20"/>
      <c r="W81" s="20" t="str">
        <f t="shared" si="2"/>
        <v>E4_5500</v>
      </c>
      <c r="X81" s="20" t="s">
        <v>188</v>
      </c>
      <c r="Y81" s="20" t="s">
        <v>146</v>
      </c>
      <c r="Z81" s="20" t="s">
        <v>189</v>
      </c>
      <c r="AA81" s="20" t="s">
        <v>139</v>
      </c>
      <c r="AB81" s="20">
        <v>138</v>
      </c>
    </row>
    <row r="82" spans="1:28" ht="31.9" customHeight="1" x14ac:dyDescent="0.2">
      <c r="A82">
        <v>132</v>
      </c>
      <c r="B82" t="s">
        <v>210</v>
      </c>
      <c r="C82" s="32" t="s">
        <v>211</v>
      </c>
      <c r="D82" s="32"/>
      <c r="E82" s="20"/>
      <c r="F82" s="20" t="s">
        <v>138</v>
      </c>
      <c r="G82" s="20" t="s">
        <v>46</v>
      </c>
      <c r="H82" s="20" t="s">
        <v>46</v>
      </c>
      <c r="I82" s="20" t="str">
        <f t="shared" si="3"/>
        <v>E4_6000</v>
      </c>
      <c r="J82" s="20"/>
      <c r="K82" s="20" t="s">
        <v>121</v>
      </c>
      <c r="L82" s="20"/>
      <c r="M82" s="20"/>
      <c r="N82" s="20"/>
      <c r="O82" s="20" t="s">
        <v>46</v>
      </c>
      <c r="P82" s="20"/>
      <c r="Q82" s="20"/>
      <c r="R82" s="20"/>
      <c r="S82" s="20" t="s">
        <v>187</v>
      </c>
      <c r="T82" s="20">
        <v>6000</v>
      </c>
      <c r="U82" s="20" t="s">
        <v>144</v>
      </c>
      <c r="V82" s="20"/>
      <c r="W82" s="20" t="str">
        <f t="shared" si="2"/>
        <v>E4_6000</v>
      </c>
      <c r="X82" s="20" t="s">
        <v>188</v>
      </c>
      <c r="Y82" s="20" t="s">
        <v>146</v>
      </c>
      <c r="Z82" s="20" t="s">
        <v>189</v>
      </c>
      <c r="AA82" s="20" t="s">
        <v>139</v>
      </c>
      <c r="AB82" s="20">
        <v>138</v>
      </c>
    </row>
    <row r="83" spans="1:28" ht="31.9" customHeight="1" x14ac:dyDescent="0.2">
      <c r="A83">
        <v>133</v>
      </c>
      <c r="B83" t="s">
        <v>212</v>
      </c>
      <c r="C83" s="32" t="s">
        <v>213</v>
      </c>
      <c r="D83" s="32"/>
      <c r="E83" s="20"/>
      <c r="F83" s="20" t="s">
        <v>138</v>
      </c>
      <c r="G83" s="20" t="s">
        <v>46</v>
      </c>
      <c r="H83" s="20" t="s">
        <v>46</v>
      </c>
      <c r="I83" s="20" t="str">
        <f t="shared" si="3"/>
        <v>E4_6500</v>
      </c>
      <c r="J83" s="20"/>
      <c r="K83" s="20" t="s">
        <v>121</v>
      </c>
      <c r="L83" s="20"/>
      <c r="M83" s="20"/>
      <c r="N83" s="20"/>
      <c r="O83" s="20" t="s">
        <v>46</v>
      </c>
      <c r="P83" s="20"/>
      <c r="Q83" s="20"/>
      <c r="R83" s="20"/>
      <c r="S83" s="20" t="s">
        <v>187</v>
      </c>
      <c r="T83" s="20">
        <v>6500</v>
      </c>
      <c r="U83" s="20" t="s">
        <v>144</v>
      </c>
      <c r="V83" s="20"/>
      <c r="W83" s="20" t="str">
        <f t="shared" si="2"/>
        <v>E4_6500</v>
      </c>
      <c r="X83" s="20" t="s">
        <v>188</v>
      </c>
      <c r="Y83" s="20" t="s">
        <v>146</v>
      </c>
      <c r="Z83" s="20" t="s">
        <v>189</v>
      </c>
      <c r="AA83" s="20" t="s">
        <v>139</v>
      </c>
      <c r="AB83" s="20">
        <v>138</v>
      </c>
    </row>
    <row r="84" spans="1:28" ht="31.9" customHeight="1" x14ac:dyDescent="0.2">
      <c r="A84">
        <v>134</v>
      </c>
      <c r="B84" t="s">
        <v>214</v>
      </c>
      <c r="C84" s="32" t="s">
        <v>215</v>
      </c>
      <c r="D84" s="32"/>
      <c r="E84" s="20"/>
      <c r="F84" s="20" t="s">
        <v>138</v>
      </c>
      <c r="G84" s="20" t="s">
        <v>46</v>
      </c>
      <c r="H84" s="20" t="s">
        <v>46</v>
      </c>
      <c r="I84" s="20" t="str">
        <f t="shared" si="3"/>
        <v>E4_7000</v>
      </c>
      <c r="J84" s="20"/>
      <c r="K84" s="20" t="s">
        <v>121</v>
      </c>
      <c r="L84" s="20"/>
      <c r="M84" s="20"/>
      <c r="N84" s="20"/>
      <c r="O84" s="20" t="s">
        <v>46</v>
      </c>
      <c r="P84" s="20"/>
      <c r="Q84" s="20"/>
      <c r="R84" s="20"/>
      <c r="S84" s="20" t="s">
        <v>187</v>
      </c>
      <c r="T84" s="20">
        <v>7000</v>
      </c>
      <c r="U84" s="20" t="s">
        <v>144</v>
      </c>
      <c r="V84" s="20"/>
      <c r="W84" s="20" t="str">
        <f t="shared" si="2"/>
        <v>E4_7000</v>
      </c>
      <c r="X84" s="20" t="s">
        <v>188</v>
      </c>
      <c r="Y84" s="20" t="s">
        <v>146</v>
      </c>
      <c r="Z84" s="20" t="s">
        <v>189</v>
      </c>
      <c r="AA84" s="20" t="s">
        <v>139</v>
      </c>
      <c r="AB84" s="20">
        <v>138</v>
      </c>
    </row>
    <row r="85" spans="1:28" ht="31.9" customHeight="1" x14ac:dyDescent="0.2">
      <c r="A85">
        <v>135</v>
      </c>
      <c r="B85" t="s">
        <v>216</v>
      </c>
      <c r="C85" s="32" t="s">
        <v>217</v>
      </c>
      <c r="D85" s="32"/>
      <c r="E85" s="20"/>
      <c r="F85" s="20" t="s">
        <v>138</v>
      </c>
      <c r="G85" s="20" t="s">
        <v>46</v>
      </c>
      <c r="H85" s="20" t="s">
        <v>46</v>
      </c>
      <c r="I85" s="20" t="str">
        <f t="shared" si="3"/>
        <v>E4_7500</v>
      </c>
      <c r="J85" s="20"/>
      <c r="K85" s="20" t="s">
        <v>121</v>
      </c>
      <c r="L85" s="20"/>
      <c r="M85" s="20"/>
      <c r="N85" s="20"/>
      <c r="O85" s="20" t="s">
        <v>46</v>
      </c>
      <c r="P85" s="20"/>
      <c r="Q85" s="20"/>
      <c r="R85" s="20"/>
      <c r="S85" s="20" t="s">
        <v>187</v>
      </c>
      <c r="T85" s="20">
        <v>7500</v>
      </c>
      <c r="U85" s="20" t="s">
        <v>144</v>
      </c>
      <c r="V85" s="20"/>
      <c r="W85" s="20" t="str">
        <f t="shared" si="2"/>
        <v>E4_7500</v>
      </c>
      <c r="X85" s="20" t="s">
        <v>188</v>
      </c>
      <c r="Y85" s="20" t="s">
        <v>146</v>
      </c>
      <c r="Z85" s="20" t="s">
        <v>189</v>
      </c>
      <c r="AA85" s="20" t="s">
        <v>139</v>
      </c>
      <c r="AB85" s="20">
        <v>138</v>
      </c>
    </row>
    <row r="86" spans="1:28" ht="31.9" customHeight="1" x14ac:dyDescent="0.2">
      <c r="A86">
        <v>136</v>
      </c>
      <c r="B86" t="s">
        <v>218</v>
      </c>
      <c r="C86" s="32" t="s">
        <v>191</v>
      </c>
      <c r="D86" s="32"/>
      <c r="E86" s="20"/>
      <c r="F86" s="20" t="s">
        <v>138</v>
      </c>
      <c r="G86" s="20" t="s">
        <v>46</v>
      </c>
      <c r="H86" s="20" t="s">
        <v>46</v>
      </c>
      <c r="I86" s="20" t="str">
        <f t="shared" si="3"/>
        <v>E4_8000</v>
      </c>
      <c r="J86" s="20"/>
      <c r="K86" s="20" t="s">
        <v>121</v>
      </c>
      <c r="L86" s="20"/>
      <c r="M86" s="20"/>
      <c r="N86" s="20"/>
      <c r="O86" s="20" t="s">
        <v>46</v>
      </c>
      <c r="P86" s="20"/>
      <c r="Q86" s="20"/>
      <c r="R86" s="20"/>
      <c r="S86" s="20" t="s">
        <v>187</v>
      </c>
      <c r="T86" s="20">
        <v>8000</v>
      </c>
      <c r="U86" s="20" t="s">
        <v>144</v>
      </c>
      <c r="V86" s="20"/>
      <c r="W86" s="20" t="str">
        <f t="shared" si="2"/>
        <v>E4_8000</v>
      </c>
      <c r="X86" s="20" t="s">
        <v>188</v>
      </c>
      <c r="Y86" s="20" t="s">
        <v>146</v>
      </c>
      <c r="Z86" s="20" t="s">
        <v>189</v>
      </c>
      <c r="AA86" s="20" t="s">
        <v>139</v>
      </c>
      <c r="AB86" s="20">
        <v>138</v>
      </c>
    </row>
    <row r="87" spans="1:28" ht="31.9" customHeight="1" x14ac:dyDescent="0.2">
      <c r="A87">
        <v>137</v>
      </c>
      <c r="B87" t="s">
        <v>219</v>
      </c>
      <c r="C87" s="32" t="s">
        <v>220</v>
      </c>
      <c r="D87" s="32"/>
      <c r="E87" s="20"/>
      <c r="F87" s="20" t="s">
        <v>138</v>
      </c>
      <c r="G87" s="20" t="s">
        <v>46</v>
      </c>
      <c r="H87" s="20" t="s">
        <v>46</v>
      </c>
      <c r="I87" s="20" t="str">
        <f t="shared" si="3"/>
        <v>E4_8500</v>
      </c>
      <c r="J87" s="20"/>
      <c r="K87" s="20" t="s">
        <v>121</v>
      </c>
      <c r="L87" s="20"/>
      <c r="M87" s="20"/>
      <c r="N87" s="20"/>
      <c r="O87" s="20" t="s">
        <v>46</v>
      </c>
      <c r="P87" s="20"/>
      <c r="Q87" s="20"/>
      <c r="R87" s="20"/>
      <c r="S87" s="20" t="s">
        <v>187</v>
      </c>
      <c r="T87" s="20">
        <v>8500</v>
      </c>
      <c r="U87" s="20" t="s">
        <v>144</v>
      </c>
      <c r="V87" s="20"/>
      <c r="W87" s="20" t="str">
        <f t="shared" si="2"/>
        <v>E4_8500</v>
      </c>
      <c r="X87" s="20" t="s">
        <v>188</v>
      </c>
      <c r="Y87" s="20" t="s">
        <v>146</v>
      </c>
      <c r="Z87" s="20" t="s">
        <v>189</v>
      </c>
      <c r="AA87" s="20" t="s">
        <v>139</v>
      </c>
      <c r="AB87" s="20">
        <v>138</v>
      </c>
    </row>
    <row r="88" spans="1:28" ht="31.9" customHeight="1" x14ac:dyDescent="0.2">
      <c r="A88">
        <v>138</v>
      </c>
      <c r="B88" t="s">
        <v>221</v>
      </c>
      <c r="C88" s="32" t="s">
        <v>222</v>
      </c>
      <c r="D88" s="32"/>
      <c r="E88" s="20"/>
      <c r="F88" s="20" t="s">
        <v>138</v>
      </c>
      <c r="G88" s="20" t="s">
        <v>46</v>
      </c>
      <c r="H88" s="20" t="s">
        <v>46</v>
      </c>
      <c r="I88" s="20" t="str">
        <f t="shared" si="3"/>
        <v>E4_9000</v>
      </c>
      <c r="J88" s="20"/>
      <c r="K88" s="20" t="s">
        <v>121</v>
      </c>
      <c r="L88" s="20"/>
      <c r="M88" s="20"/>
      <c r="N88" s="20"/>
      <c r="O88" s="20" t="s">
        <v>46</v>
      </c>
      <c r="P88" s="20"/>
      <c r="Q88" s="20"/>
      <c r="R88" s="20"/>
      <c r="S88" s="20" t="s">
        <v>187</v>
      </c>
      <c r="T88" s="20">
        <v>9000</v>
      </c>
      <c r="U88" s="20" t="s">
        <v>144</v>
      </c>
      <c r="V88" s="20"/>
      <c r="W88" s="20" t="str">
        <f t="shared" si="2"/>
        <v>E4_9000</v>
      </c>
      <c r="X88" s="20" t="s">
        <v>188</v>
      </c>
      <c r="Y88" s="20" t="s">
        <v>146</v>
      </c>
      <c r="Z88" s="20" t="s">
        <v>189</v>
      </c>
      <c r="AA88" s="20" t="s">
        <v>139</v>
      </c>
      <c r="AB88" s="20">
        <v>138</v>
      </c>
    </row>
    <row r="89" spans="1:28" ht="31.9" customHeight="1" x14ac:dyDescent="0.2">
      <c r="A89">
        <v>139</v>
      </c>
      <c r="B89" t="s">
        <v>223</v>
      </c>
      <c r="C89" s="32" t="s">
        <v>224</v>
      </c>
      <c r="D89" s="32"/>
      <c r="E89" s="20"/>
      <c r="F89" s="20" t="s">
        <v>138</v>
      </c>
      <c r="G89" s="20" t="s">
        <v>46</v>
      </c>
      <c r="H89" s="20" t="s">
        <v>46</v>
      </c>
      <c r="I89" s="20" t="str">
        <f t="shared" si="3"/>
        <v>E4_9500</v>
      </c>
      <c r="J89" s="20"/>
      <c r="K89" s="20" t="s">
        <v>121</v>
      </c>
      <c r="L89" s="20"/>
      <c r="M89" s="20"/>
      <c r="N89" s="20"/>
      <c r="O89" s="20" t="s">
        <v>46</v>
      </c>
      <c r="P89" s="20"/>
      <c r="Q89" s="20"/>
      <c r="R89" s="20"/>
      <c r="S89" s="20" t="s">
        <v>187</v>
      </c>
      <c r="T89" s="20">
        <v>9500</v>
      </c>
      <c r="U89" s="20" t="s">
        <v>144</v>
      </c>
      <c r="V89" s="20"/>
      <c r="W89" s="20" t="str">
        <f t="shared" si="2"/>
        <v>E4_9500</v>
      </c>
      <c r="X89" s="20" t="s">
        <v>188</v>
      </c>
      <c r="Y89" s="20" t="s">
        <v>146</v>
      </c>
      <c r="Z89" s="20" t="s">
        <v>189</v>
      </c>
      <c r="AA89" s="20" t="s">
        <v>139</v>
      </c>
      <c r="AB89" s="20">
        <v>138</v>
      </c>
    </row>
    <row r="90" spans="1:28" ht="31.9" customHeight="1" x14ac:dyDescent="0.2">
      <c r="A90">
        <v>140</v>
      </c>
      <c r="B90" t="s">
        <v>225</v>
      </c>
      <c r="C90" s="32" t="s">
        <v>226</v>
      </c>
      <c r="D90" s="32"/>
      <c r="E90" s="20"/>
      <c r="F90" s="20" t="s">
        <v>138</v>
      </c>
      <c r="G90" s="20" t="s">
        <v>46</v>
      </c>
      <c r="H90" s="20" t="s">
        <v>46</v>
      </c>
      <c r="I90" s="20" t="str">
        <f t="shared" si="3"/>
        <v>E4_10000</v>
      </c>
      <c r="J90" s="20"/>
      <c r="K90" s="20" t="s">
        <v>121</v>
      </c>
      <c r="L90" s="20"/>
      <c r="M90" s="20"/>
      <c r="N90" s="20"/>
      <c r="O90" s="20" t="s">
        <v>46</v>
      </c>
      <c r="P90" s="20"/>
      <c r="Q90" s="20"/>
      <c r="R90" s="20"/>
      <c r="S90" s="20" t="s">
        <v>187</v>
      </c>
      <c r="T90" s="20">
        <v>10000</v>
      </c>
      <c r="U90" s="20" t="s">
        <v>144</v>
      </c>
      <c r="V90" s="20"/>
      <c r="W90" s="20" t="str">
        <f t="shared" si="2"/>
        <v>E4_10000</v>
      </c>
      <c r="X90" s="20" t="s">
        <v>188</v>
      </c>
      <c r="Y90" s="20" t="s">
        <v>146</v>
      </c>
      <c r="Z90" s="20" t="s">
        <v>189</v>
      </c>
      <c r="AA90" s="20" t="s">
        <v>139</v>
      </c>
      <c r="AB90" s="20">
        <v>138</v>
      </c>
    </row>
    <row r="91" spans="1:28" ht="31.9" customHeight="1" x14ac:dyDescent="0.2">
      <c r="A91" s="18">
        <v>232</v>
      </c>
      <c r="B91" s="20" t="s">
        <v>227</v>
      </c>
      <c r="C91" s="36" t="s">
        <v>228</v>
      </c>
      <c r="D91" s="36"/>
      <c r="E91" s="20"/>
      <c r="F91" s="20" t="s">
        <v>138</v>
      </c>
      <c r="G91" s="20" t="s">
        <v>46</v>
      </c>
      <c r="H91" s="20" t="s">
        <v>46</v>
      </c>
      <c r="I91" s="20" t="str">
        <f t="shared" si="3"/>
        <v>E5_12000</v>
      </c>
      <c r="J91" s="20" t="s">
        <v>47</v>
      </c>
      <c r="K91" s="20" t="s">
        <v>121</v>
      </c>
      <c r="L91" s="20"/>
      <c r="M91" s="20"/>
      <c r="N91" s="20"/>
      <c r="O91" s="20" t="s">
        <v>46</v>
      </c>
      <c r="P91" s="20"/>
      <c r="Q91" s="20"/>
      <c r="R91" s="20"/>
      <c r="S91" s="20" t="s">
        <v>104</v>
      </c>
      <c r="T91" s="20">
        <v>12</v>
      </c>
      <c r="U91" s="20" t="s">
        <v>105</v>
      </c>
      <c r="V91" s="20"/>
      <c r="W91" s="20" t="str">
        <f t="shared" si="2"/>
        <v>E5_12000</v>
      </c>
      <c r="X91" s="20"/>
      <c r="Y91" s="20"/>
      <c r="Z91" s="20" t="s">
        <v>229</v>
      </c>
      <c r="AA91" s="20" t="s">
        <v>139</v>
      </c>
      <c r="AB91" s="20">
        <v>139</v>
      </c>
    </row>
    <row r="92" spans="1:28" ht="31.9" customHeight="1" x14ac:dyDescent="0.2">
      <c r="A92" s="18">
        <v>230</v>
      </c>
      <c r="B92" s="31" t="s">
        <v>230</v>
      </c>
      <c r="C92" s="37" t="s">
        <v>231</v>
      </c>
      <c r="D92" s="37"/>
      <c r="E92" s="20"/>
      <c r="F92" s="20" t="s">
        <v>138</v>
      </c>
      <c r="G92" s="20" t="s">
        <v>46</v>
      </c>
      <c r="H92" s="20" t="s">
        <v>46</v>
      </c>
      <c r="I92" s="20" t="str">
        <f t="shared" si="3"/>
        <v>e7b_L</v>
      </c>
      <c r="J92" s="20"/>
      <c r="K92" s="20" t="s">
        <v>121</v>
      </c>
      <c r="L92" s="20"/>
      <c r="M92" s="20"/>
      <c r="N92" s="20"/>
      <c r="O92" s="20" t="s">
        <v>46</v>
      </c>
      <c r="P92" s="20"/>
      <c r="Q92" s="20"/>
      <c r="R92" s="20"/>
      <c r="S92" s="20"/>
      <c r="T92" s="20"/>
      <c r="U92" s="20"/>
      <c r="V92" s="20"/>
      <c r="W92" s="20" t="str">
        <f t="shared" si="2"/>
        <v>e7b_L</v>
      </c>
      <c r="X92" s="20" t="s">
        <v>121</v>
      </c>
      <c r="Y92" s="20" t="s">
        <v>232</v>
      </c>
      <c r="Z92" s="20"/>
      <c r="AA92" s="20"/>
      <c r="AB92" s="20"/>
    </row>
    <row r="93" spans="1:28" ht="31.9" customHeight="1" x14ac:dyDescent="0.2">
      <c r="A93" s="18">
        <v>231</v>
      </c>
      <c r="B93" s="31" t="s">
        <v>233</v>
      </c>
      <c r="C93" s="37" t="s">
        <v>234</v>
      </c>
      <c r="D93" s="37"/>
      <c r="E93" s="20"/>
      <c r="F93" s="20" t="s">
        <v>138</v>
      </c>
      <c r="G93" s="20" t="s">
        <v>46</v>
      </c>
      <c r="H93" s="20" t="s">
        <v>46</v>
      </c>
      <c r="I93" s="20" t="str">
        <f t="shared" si="3"/>
        <v>e7b_P</v>
      </c>
      <c r="J93" s="20"/>
      <c r="K93" s="20" t="s">
        <v>121</v>
      </c>
      <c r="L93" s="20"/>
      <c r="M93" s="20"/>
      <c r="N93" s="20"/>
      <c r="O93" s="20" t="s">
        <v>46</v>
      </c>
      <c r="P93" s="20"/>
      <c r="Q93" s="20"/>
      <c r="R93" s="20"/>
      <c r="S93" s="20"/>
      <c r="T93" s="20"/>
      <c r="U93" s="20"/>
      <c r="V93" s="20"/>
      <c r="W93" s="20" t="str">
        <f t="shared" si="2"/>
        <v>e7b_P</v>
      </c>
      <c r="X93" s="20" t="s">
        <v>121</v>
      </c>
      <c r="Y93" s="20" t="s">
        <v>232</v>
      </c>
      <c r="Z93" s="20"/>
      <c r="AA93" s="20"/>
      <c r="AB93" s="20"/>
    </row>
    <row r="94" spans="1:28" ht="31.9" customHeight="1" x14ac:dyDescent="0.2">
      <c r="A94" s="30">
        <v>41</v>
      </c>
      <c r="B94" s="31" t="s">
        <v>235</v>
      </c>
      <c r="C94" s="32" t="s">
        <v>236</v>
      </c>
      <c r="D94" s="32"/>
      <c r="E94" s="20"/>
      <c r="F94" s="20" t="s">
        <v>98</v>
      </c>
      <c r="G94" s="20" t="s">
        <v>46</v>
      </c>
      <c r="H94" s="20" t="s">
        <v>47</v>
      </c>
      <c r="I94" s="20" t="str">
        <f t="shared" si="3"/>
        <v>G24</v>
      </c>
      <c r="J94" s="20" t="s">
        <v>47</v>
      </c>
      <c r="K94" s="20" t="s">
        <v>99</v>
      </c>
      <c r="L94" s="20" t="s">
        <v>100</v>
      </c>
      <c r="M94" s="20">
        <v>415</v>
      </c>
      <c r="N94" s="20"/>
      <c r="O94" s="20" t="s">
        <v>46</v>
      </c>
      <c r="P94" s="20"/>
      <c r="Q94" s="20"/>
      <c r="R94" s="20"/>
      <c r="S94" s="20"/>
      <c r="T94" s="20"/>
      <c r="U94" s="20"/>
      <c r="V94" s="20" t="s">
        <v>237</v>
      </c>
      <c r="W94" s="20"/>
      <c r="X94" s="20"/>
      <c r="Y94" s="20"/>
      <c r="Z94" s="20">
        <v>178</v>
      </c>
      <c r="AA94" s="20" t="s">
        <v>100</v>
      </c>
      <c r="AB94" s="20">
        <v>415</v>
      </c>
    </row>
    <row r="95" spans="1:28" ht="31.9" customHeight="1" x14ac:dyDescent="0.2">
      <c r="A95" s="30">
        <v>42</v>
      </c>
      <c r="B95" s="31" t="s">
        <v>238</v>
      </c>
      <c r="C95" s="32" t="s">
        <v>239</v>
      </c>
      <c r="D95" s="32"/>
      <c r="E95" s="20"/>
      <c r="F95" s="20" t="s">
        <v>98</v>
      </c>
      <c r="G95" s="20" t="s">
        <v>46</v>
      </c>
      <c r="H95" s="20" t="s">
        <v>47</v>
      </c>
      <c r="I95" s="20" t="str">
        <f t="shared" si="3"/>
        <v>G25</v>
      </c>
      <c r="J95" s="20" t="s">
        <v>47</v>
      </c>
      <c r="K95" s="20" t="s">
        <v>99</v>
      </c>
      <c r="L95" s="20" t="s">
        <v>100</v>
      </c>
      <c r="M95" s="20">
        <v>415</v>
      </c>
      <c r="N95" s="20"/>
      <c r="O95" s="20" t="s">
        <v>46</v>
      </c>
      <c r="P95" s="20"/>
      <c r="Q95" s="20"/>
      <c r="R95" s="20"/>
      <c r="S95" s="20"/>
      <c r="T95" s="20"/>
      <c r="U95" s="20"/>
      <c r="V95" s="20" t="s">
        <v>240</v>
      </c>
      <c r="W95" s="20"/>
      <c r="X95" s="20"/>
      <c r="Y95" s="20"/>
      <c r="Z95" s="20">
        <v>179</v>
      </c>
      <c r="AA95" s="20" t="s">
        <v>100</v>
      </c>
      <c r="AB95" s="20">
        <v>415</v>
      </c>
    </row>
    <row r="96" spans="1:28" ht="31.9" customHeight="1" x14ac:dyDescent="0.2">
      <c r="A96" s="30">
        <v>43</v>
      </c>
      <c r="B96" s="31" t="s">
        <v>241</v>
      </c>
      <c r="C96" s="32" t="s">
        <v>242</v>
      </c>
      <c r="D96" s="32"/>
      <c r="E96" s="20"/>
      <c r="F96" s="20" t="s">
        <v>98</v>
      </c>
      <c r="G96" s="20" t="s">
        <v>46</v>
      </c>
      <c r="H96" s="20" t="s">
        <v>47</v>
      </c>
      <c r="I96" s="20" t="str">
        <f t="shared" si="3"/>
        <v>G26a</v>
      </c>
      <c r="J96" s="20" t="s">
        <v>47</v>
      </c>
      <c r="K96" s="20" t="s">
        <v>99</v>
      </c>
      <c r="L96" s="20" t="s">
        <v>100</v>
      </c>
      <c r="M96" s="20">
        <v>415</v>
      </c>
      <c r="N96" s="20"/>
      <c r="O96" s="20" t="s">
        <v>46</v>
      </c>
      <c r="P96" s="20"/>
      <c r="Q96" s="20"/>
      <c r="R96" s="20"/>
      <c r="S96" s="20"/>
      <c r="T96" s="20"/>
      <c r="U96" s="20"/>
      <c r="V96" s="20" t="s">
        <v>243</v>
      </c>
      <c r="W96" s="20"/>
      <c r="X96" s="20"/>
      <c r="Y96" s="20"/>
      <c r="Z96" s="20">
        <v>180</v>
      </c>
      <c r="AA96" s="20" t="s">
        <v>100</v>
      </c>
      <c r="AB96" s="20">
        <v>415</v>
      </c>
    </row>
    <row r="97" spans="1:28" ht="31.9" customHeight="1" x14ac:dyDescent="0.2">
      <c r="A97" s="30">
        <v>44</v>
      </c>
      <c r="B97" s="31" t="s">
        <v>244</v>
      </c>
      <c r="C97" s="32" t="s">
        <v>245</v>
      </c>
      <c r="D97" s="32"/>
      <c r="E97" s="20"/>
      <c r="F97" s="20" t="s">
        <v>98</v>
      </c>
      <c r="G97" s="20" t="s">
        <v>46</v>
      </c>
      <c r="H97" s="20" t="s">
        <v>47</v>
      </c>
      <c r="I97" s="20" t="str">
        <f t="shared" si="3"/>
        <v>G26b</v>
      </c>
      <c r="J97" s="20" t="s">
        <v>47</v>
      </c>
      <c r="K97" s="20" t="s">
        <v>99</v>
      </c>
      <c r="L97" s="20" t="s">
        <v>100</v>
      </c>
      <c r="M97" s="20">
        <v>415</v>
      </c>
      <c r="N97" s="20"/>
      <c r="O97" s="20" t="s">
        <v>46</v>
      </c>
      <c r="P97" s="20"/>
      <c r="Q97" s="20"/>
      <c r="R97" s="20"/>
      <c r="S97" s="20"/>
      <c r="T97" s="20"/>
      <c r="U97" s="20"/>
      <c r="V97" s="20" t="s">
        <v>240</v>
      </c>
      <c r="W97" s="20"/>
      <c r="X97" s="20"/>
      <c r="Y97" s="20"/>
      <c r="Z97" s="20">
        <v>181</v>
      </c>
      <c r="AA97" s="20" t="s">
        <v>100</v>
      </c>
      <c r="AB97" s="20">
        <v>415</v>
      </c>
    </row>
    <row r="98" spans="1:28" ht="31.9" customHeight="1" x14ac:dyDescent="0.2">
      <c r="A98" s="18" t="s">
        <v>101</v>
      </c>
      <c r="B98" s="20" t="s">
        <v>246</v>
      </c>
      <c r="C98" s="19" t="s">
        <v>247</v>
      </c>
      <c r="D98" s="19"/>
      <c r="E98" s="20"/>
      <c r="F98" s="20" t="s">
        <v>98</v>
      </c>
      <c r="G98" s="20" t="s">
        <v>46</v>
      </c>
      <c r="H98" s="20" t="s">
        <v>47</v>
      </c>
      <c r="I98" s="20" t="str">
        <f t="shared" si="3"/>
        <v>S8a</v>
      </c>
      <c r="J98" s="20" t="s">
        <v>47</v>
      </c>
      <c r="K98" s="20" t="s">
        <v>248</v>
      </c>
      <c r="L98" s="20" t="s">
        <v>133</v>
      </c>
      <c r="M98" s="20">
        <v>659</v>
      </c>
      <c r="N98" s="20"/>
      <c r="O98" s="20" t="s">
        <v>46</v>
      </c>
      <c r="P98" s="20"/>
      <c r="Q98" s="20"/>
      <c r="R98" s="20"/>
      <c r="S98" s="20"/>
      <c r="T98" s="20"/>
      <c r="U98" s="20"/>
      <c r="V98" s="20"/>
      <c r="W98" s="20"/>
      <c r="X98" s="20"/>
      <c r="Y98" s="20" t="s">
        <v>249</v>
      </c>
      <c r="Z98" s="20"/>
      <c r="AA98" s="20" t="s">
        <v>133</v>
      </c>
      <c r="AB98" s="20">
        <v>659</v>
      </c>
    </row>
    <row r="99" spans="1:28" ht="31.9" customHeight="1" x14ac:dyDescent="0.2">
      <c r="A99" s="18" t="s">
        <v>101</v>
      </c>
      <c r="B99" s="20" t="s">
        <v>250</v>
      </c>
      <c r="C99" s="19" t="s">
        <v>251</v>
      </c>
      <c r="D99" s="19"/>
      <c r="E99" s="20"/>
      <c r="F99" s="20" t="s">
        <v>98</v>
      </c>
      <c r="G99" s="20" t="s">
        <v>46</v>
      </c>
      <c r="H99" s="20" t="s">
        <v>47</v>
      </c>
      <c r="I99" s="20" t="str">
        <f t="shared" si="3"/>
        <v>S8b</v>
      </c>
      <c r="J99" s="20" t="s">
        <v>47</v>
      </c>
      <c r="K99" s="20" t="s">
        <v>248</v>
      </c>
      <c r="L99" s="20" t="s">
        <v>133</v>
      </c>
      <c r="M99" s="20">
        <v>660</v>
      </c>
      <c r="N99" s="20"/>
      <c r="O99" s="20" t="s">
        <v>46</v>
      </c>
      <c r="P99" s="20"/>
      <c r="Q99" s="20"/>
      <c r="R99" s="20"/>
      <c r="S99" s="20"/>
      <c r="T99" s="20"/>
      <c r="U99" s="20"/>
      <c r="V99" s="20"/>
      <c r="W99" s="20"/>
      <c r="X99" s="20"/>
      <c r="Y99" s="20" t="s">
        <v>249</v>
      </c>
      <c r="Z99" s="20"/>
      <c r="AA99" s="20" t="s">
        <v>133</v>
      </c>
      <c r="AB99" s="20">
        <v>660</v>
      </c>
    </row>
    <row r="100" spans="1:28" ht="31.9" customHeight="1" x14ac:dyDescent="0.2">
      <c r="A100" s="30">
        <v>17</v>
      </c>
      <c r="B100" s="31" t="s">
        <v>252</v>
      </c>
      <c r="C100" s="32" t="s">
        <v>253</v>
      </c>
      <c r="D100" s="32"/>
      <c r="E100" s="20"/>
      <c r="F100" s="20" t="s">
        <v>98</v>
      </c>
      <c r="G100" s="20" t="s">
        <v>46</v>
      </c>
      <c r="H100" s="20" t="s">
        <v>47</v>
      </c>
      <c r="I100" s="20" t="str">
        <f t="shared" si="3"/>
        <v>S8c</v>
      </c>
      <c r="J100" s="20" t="s">
        <v>47</v>
      </c>
      <c r="K100" s="20" t="s">
        <v>248</v>
      </c>
      <c r="L100" s="20" t="s">
        <v>133</v>
      </c>
      <c r="M100" s="20">
        <v>661</v>
      </c>
      <c r="N100" s="20"/>
      <c r="O100" s="20" t="s">
        <v>46</v>
      </c>
      <c r="P100" s="20"/>
      <c r="Q100" s="20"/>
      <c r="R100" s="20"/>
      <c r="S100" s="20"/>
      <c r="T100" s="20"/>
      <c r="U100" s="20"/>
      <c r="V100" s="20"/>
      <c r="W100" s="20"/>
      <c r="X100" s="20"/>
      <c r="Y100" s="20" t="s">
        <v>249</v>
      </c>
      <c r="Z100" s="20"/>
      <c r="AA100" s="20" t="s">
        <v>133</v>
      </c>
      <c r="AB100" s="20">
        <v>661</v>
      </c>
    </row>
    <row r="101" spans="1:28" ht="31.9" customHeight="1" x14ac:dyDescent="0.2">
      <c r="A101" s="30">
        <v>18</v>
      </c>
      <c r="B101" s="31" t="s">
        <v>254</v>
      </c>
      <c r="C101" s="32" t="s">
        <v>255</v>
      </c>
      <c r="D101" s="32"/>
      <c r="E101" s="20"/>
      <c r="F101" s="20" t="s">
        <v>98</v>
      </c>
      <c r="G101" s="20" t="s">
        <v>46</v>
      </c>
      <c r="H101" s="20" t="s">
        <v>47</v>
      </c>
      <c r="I101" s="20" t="str">
        <f t="shared" si="3"/>
        <v>S8d</v>
      </c>
      <c r="J101" s="20" t="s">
        <v>47</v>
      </c>
      <c r="K101" s="20" t="s">
        <v>248</v>
      </c>
      <c r="L101" s="20" t="s">
        <v>133</v>
      </c>
      <c r="M101" s="20">
        <v>662</v>
      </c>
      <c r="N101" s="20"/>
      <c r="O101" s="20" t="s">
        <v>46</v>
      </c>
      <c r="P101" s="20"/>
      <c r="Q101" s="20"/>
      <c r="R101" s="20"/>
      <c r="S101" s="20"/>
      <c r="T101" s="20"/>
      <c r="U101" s="20"/>
      <c r="V101" s="20"/>
      <c r="W101" s="20"/>
      <c r="X101" s="20"/>
      <c r="Y101" s="20" t="s">
        <v>249</v>
      </c>
      <c r="Z101" s="20"/>
      <c r="AA101" s="20" t="s">
        <v>133</v>
      </c>
      <c r="AB101" s="20">
        <v>662</v>
      </c>
    </row>
    <row r="102" spans="1:28" ht="31.9" customHeight="1" x14ac:dyDescent="0.2">
      <c r="A102" s="30">
        <v>45</v>
      </c>
      <c r="B102" s="31" t="s">
        <v>256</v>
      </c>
      <c r="C102" s="32" t="s">
        <v>257</v>
      </c>
      <c r="D102" s="32"/>
      <c r="E102" s="20"/>
      <c r="F102" s="20" t="s">
        <v>45</v>
      </c>
      <c r="G102" s="20" t="s">
        <v>46</v>
      </c>
      <c r="H102" s="20" t="s">
        <v>46</v>
      </c>
      <c r="I102" s="20" t="str">
        <f t="shared" si="3"/>
        <v>X1</v>
      </c>
      <c r="J102" s="20" t="s">
        <v>47</v>
      </c>
      <c r="K102" s="20" t="s">
        <v>48</v>
      </c>
      <c r="L102" s="20" t="s">
        <v>69</v>
      </c>
      <c r="M102" s="20">
        <v>111</v>
      </c>
      <c r="N102" s="20"/>
      <c r="O102" s="20" t="s">
        <v>47</v>
      </c>
      <c r="P102" s="20"/>
      <c r="Q102" s="20"/>
      <c r="R102" s="20"/>
      <c r="S102" s="20"/>
      <c r="T102" s="20"/>
      <c r="U102" s="20"/>
      <c r="V102" s="20" t="s">
        <v>258</v>
      </c>
      <c r="W102" s="20"/>
      <c r="X102" s="20"/>
      <c r="Y102" s="20"/>
      <c r="Z102" s="20">
        <v>182</v>
      </c>
      <c r="AA102" s="20" t="s">
        <v>49</v>
      </c>
      <c r="AB102" s="20">
        <v>421</v>
      </c>
    </row>
    <row r="103" spans="1:28" ht="31.9" customHeight="1" x14ac:dyDescent="0.2">
      <c r="A103" s="30">
        <v>46</v>
      </c>
      <c r="B103" s="31" t="s">
        <v>259</v>
      </c>
      <c r="C103" s="32" t="s">
        <v>260</v>
      </c>
      <c r="D103" s="32"/>
      <c r="E103" s="20"/>
      <c r="F103" s="20" t="s">
        <v>45</v>
      </c>
      <c r="G103" s="20" t="s">
        <v>46</v>
      </c>
      <c r="H103" s="20" t="s">
        <v>46</v>
      </c>
      <c r="I103" s="20" t="str">
        <f t="shared" si="3"/>
        <v>X2</v>
      </c>
      <c r="J103" s="20" t="s">
        <v>47</v>
      </c>
      <c r="K103" s="20" t="s">
        <v>48</v>
      </c>
      <c r="L103" s="20" t="s">
        <v>69</v>
      </c>
      <c r="M103" s="20">
        <v>111</v>
      </c>
      <c r="N103" s="20"/>
      <c r="O103" s="20" t="s">
        <v>47</v>
      </c>
      <c r="P103" s="20"/>
      <c r="Q103" s="20"/>
      <c r="R103" s="20"/>
      <c r="S103" s="20"/>
      <c r="T103" s="20"/>
      <c r="U103" s="20"/>
      <c r="V103" s="20" t="s">
        <v>261</v>
      </c>
      <c r="W103" s="20"/>
      <c r="X103" s="20"/>
      <c r="Y103" s="20"/>
      <c r="Z103" s="20">
        <v>183</v>
      </c>
      <c r="AA103" s="20" t="s">
        <v>49</v>
      </c>
      <c r="AB103" s="20">
        <v>421</v>
      </c>
    </row>
    <row r="104" spans="1:28" ht="31.9" customHeight="1" x14ac:dyDescent="0.2">
      <c r="A104" s="18">
        <v>221</v>
      </c>
      <c r="B104" s="20" t="s">
        <v>262</v>
      </c>
      <c r="C104" s="32" t="s">
        <v>263</v>
      </c>
      <c r="D104" s="32"/>
      <c r="E104" s="20"/>
      <c r="F104" s="20" t="s">
        <v>138</v>
      </c>
      <c r="G104" s="20" t="s">
        <v>46</v>
      </c>
      <c r="H104" s="20" t="s">
        <v>46</v>
      </c>
      <c r="I104" s="20" t="str">
        <f t="shared" si="3"/>
        <v>X3</v>
      </c>
      <c r="J104" s="20" t="s">
        <v>47</v>
      </c>
      <c r="K104" s="20" t="s">
        <v>248</v>
      </c>
      <c r="L104" s="20" t="s">
        <v>100</v>
      </c>
      <c r="M104" s="20">
        <v>725</v>
      </c>
      <c r="N104" s="20" t="s">
        <v>264</v>
      </c>
      <c r="O104" s="20" t="s">
        <v>46</v>
      </c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 t="s">
        <v>100</v>
      </c>
      <c r="AB104" s="20">
        <v>725</v>
      </c>
    </row>
    <row r="105" spans="1:28" ht="31.9" customHeight="1" x14ac:dyDescent="0.2">
      <c r="A105" s="18" t="s">
        <v>101</v>
      </c>
      <c r="B105" s="20" t="s">
        <v>265</v>
      </c>
      <c r="C105" s="19" t="s">
        <v>266</v>
      </c>
      <c r="D105" s="19"/>
      <c r="E105" s="20"/>
      <c r="F105" s="20" t="s">
        <v>98</v>
      </c>
      <c r="G105" s="20" t="s">
        <v>46</v>
      </c>
      <c r="H105" s="20" t="s">
        <v>46</v>
      </c>
      <c r="I105" s="20" t="str">
        <f t="shared" si="3"/>
        <v>X5</v>
      </c>
      <c r="J105" s="20" t="s">
        <v>47</v>
      </c>
      <c r="K105" s="20" t="s">
        <v>48</v>
      </c>
      <c r="L105" s="20" t="s">
        <v>49</v>
      </c>
      <c r="M105" s="20">
        <v>319</v>
      </c>
      <c r="N105" s="20" t="s">
        <v>267</v>
      </c>
      <c r="O105" s="20" t="s">
        <v>46</v>
      </c>
      <c r="P105" s="20" t="s">
        <v>268</v>
      </c>
      <c r="Q105" s="20">
        <v>2</v>
      </c>
      <c r="R105" s="20" t="s">
        <v>144</v>
      </c>
      <c r="S105" s="20"/>
      <c r="T105" s="20"/>
      <c r="U105" s="20"/>
      <c r="V105" s="20"/>
      <c r="W105" s="20"/>
      <c r="X105" s="20"/>
      <c r="Y105" s="20" t="s">
        <v>269</v>
      </c>
      <c r="Z105" s="20"/>
      <c r="AA105" s="20" t="s">
        <v>49</v>
      </c>
      <c r="AB105" s="20">
        <v>319</v>
      </c>
    </row>
    <row r="106" spans="1:28" ht="51" x14ac:dyDescent="0.2">
      <c r="A106" s="18" t="s">
        <v>101</v>
      </c>
      <c r="B106" s="20" t="s">
        <v>270</v>
      </c>
      <c r="C106" s="19" t="s">
        <v>271</v>
      </c>
      <c r="D106" s="19"/>
      <c r="E106" s="20"/>
      <c r="F106" s="20" t="s">
        <v>138</v>
      </c>
      <c r="G106" s="20" t="s">
        <v>46</v>
      </c>
      <c r="H106" s="20" t="s">
        <v>46</v>
      </c>
      <c r="I106" s="20" t="str">
        <f t="shared" si="3"/>
        <v>ZPI2</v>
      </c>
      <c r="J106" s="20"/>
      <c r="K106" s="20" t="s">
        <v>272</v>
      </c>
      <c r="L106" s="20" t="s">
        <v>133</v>
      </c>
      <c r="M106" s="20">
        <v>851</v>
      </c>
      <c r="N106" s="20" t="s">
        <v>273</v>
      </c>
      <c r="O106" s="20" t="s">
        <v>46</v>
      </c>
      <c r="P106" s="20" t="s">
        <v>143</v>
      </c>
      <c r="Q106" s="20" t="s">
        <v>274</v>
      </c>
      <c r="R106" s="20" t="s">
        <v>144</v>
      </c>
      <c r="S106" s="20"/>
      <c r="T106" s="20"/>
      <c r="U106" s="20"/>
      <c r="V106" s="20"/>
      <c r="W106" s="20"/>
      <c r="X106" s="20"/>
      <c r="Y106" s="20"/>
      <c r="Z106" s="20"/>
      <c r="AA106" s="20"/>
      <c r="AB106" s="20"/>
    </row>
    <row r="107" spans="1:28" ht="33.6" customHeight="1" x14ac:dyDescent="0.2">
      <c r="A107" s="18" t="s">
        <v>101</v>
      </c>
      <c r="B107" s="20" t="s">
        <v>275</v>
      </c>
      <c r="C107" s="19" t="s">
        <v>276</v>
      </c>
      <c r="D107" s="19"/>
      <c r="E107" s="20"/>
      <c r="F107" s="20" t="s">
        <v>138</v>
      </c>
      <c r="G107" s="20" t="s">
        <v>46</v>
      </c>
      <c r="H107" s="20" t="s">
        <v>46</v>
      </c>
      <c r="I107" s="20" t="str">
        <f t="shared" si="3"/>
        <v>E9_hv</v>
      </c>
      <c r="J107" s="20"/>
      <c r="K107" s="20" t="s">
        <v>277</v>
      </c>
      <c r="L107" s="20"/>
      <c r="M107" s="20"/>
      <c r="N107" s="20"/>
      <c r="O107" s="20" t="s">
        <v>46</v>
      </c>
      <c r="P107" s="20"/>
      <c r="Q107" s="20"/>
      <c r="R107" s="20"/>
      <c r="S107" s="20"/>
      <c r="T107" s="20"/>
      <c r="U107" s="20"/>
      <c r="V107" s="20"/>
      <c r="W107" s="20" t="str">
        <f>B107</f>
        <v>E9_hv</v>
      </c>
      <c r="X107" s="20" t="s">
        <v>278</v>
      </c>
      <c r="Y107" s="20" t="s">
        <v>232</v>
      </c>
      <c r="Z107" s="20"/>
      <c r="AA107" s="20"/>
      <c r="AB107" s="20"/>
    </row>
    <row r="108" spans="1:28" ht="31.9" customHeight="1" x14ac:dyDescent="0.2">
      <c r="A108" s="30">
        <v>12</v>
      </c>
      <c r="B108" s="31" t="s">
        <v>531</v>
      </c>
      <c r="C108" s="32" t="s">
        <v>111</v>
      </c>
      <c r="D108" s="32"/>
      <c r="E108" s="20" t="e" vm="1">
        <v>#VALUE!</v>
      </c>
      <c r="F108" s="20" t="s">
        <v>98</v>
      </c>
      <c r="G108" s="20" t="s">
        <v>46</v>
      </c>
      <c r="H108" s="20" t="s">
        <v>47</v>
      </c>
      <c r="I108" s="20" t="str">
        <f t="shared" si="3"/>
        <v>B20a_150</v>
      </c>
      <c r="J108" s="20" t="s">
        <v>46</v>
      </c>
      <c r="K108" s="20" t="s">
        <v>99</v>
      </c>
      <c r="L108" s="20" t="s">
        <v>100</v>
      </c>
      <c r="M108" s="20">
        <v>557</v>
      </c>
      <c r="N108" s="20"/>
      <c r="O108" s="20" t="s">
        <v>46</v>
      </c>
      <c r="P108" s="20" t="s">
        <v>112</v>
      </c>
      <c r="Q108" s="20">
        <v>150</v>
      </c>
      <c r="R108" s="20" t="s">
        <v>113</v>
      </c>
      <c r="S108" s="20"/>
      <c r="T108" s="20"/>
      <c r="U108" s="20"/>
      <c r="V108" s="20"/>
      <c r="W108" s="20"/>
      <c r="X108" s="20"/>
      <c r="Y108" s="20"/>
      <c r="Z108" s="20"/>
      <c r="AA108" s="20" t="s">
        <v>100</v>
      </c>
      <c r="AB108" s="20">
        <v>557</v>
      </c>
    </row>
    <row r="109" spans="1:28" ht="28.5" customHeight="1" x14ac:dyDescent="0.2">
      <c r="A109" s="30">
        <v>12</v>
      </c>
      <c r="B109" s="31" t="s">
        <v>532</v>
      </c>
      <c r="C109" s="32" t="s">
        <v>533</v>
      </c>
      <c r="D109" s="32"/>
      <c r="E109" s="20" t="e" vm="2">
        <v>#VALUE!</v>
      </c>
      <c r="F109" s="20" t="s">
        <v>98</v>
      </c>
      <c r="G109" s="20" t="s">
        <v>46</v>
      </c>
      <c r="H109" s="20" t="s">
        <v>47</v>
      </c>
      <c r="I109" s="20" t="str">
        <f t="shared" si="3"/>
        <v>B20b_150</v>
      </c>
      <c r="J109" s="20" t="s">
        <v>46</v>
      </c>
      <c r="K109" s="20" t="s">
        <v>99</v>
      </c>
      <c r="L109" s="20" t="s">
        <v>100</v>
      </c>
      <c r="M109" s="20">
        <v>614</v>
      </c>
      <c r="N109" s="20"/>
      <c r="O109" s="20" t="s">
        <v>46</v>
      </c>
      <c r="P109" s="20" t="s">
        <v>112</v>
      </c>
      <c r="Q109" s="20">
        <v>150</v>
      </c>
      <c r="R109" s="20" t="s">
        <v>113</v>
      </c>
      <c r="S109" s="20"/>
      <c r="T109" s="20"/>
      <c r="U109" s="20"/>
      <c r="V109" s="20"/>
      <c r="W109" s="20"/>
      <c r="X109" s="20"/>
      <c r="Y109" s="20"/>
      <c r="Z109" s="20"/>
      <c r="AA109" s="20" t="s">
        <v>100</v>
      </c>
      <c r="AB109" s="20">
        <v>557</v>
      </c>
    </row>
    <row r="110" spans="1:28" ht="27.75" customHeight="1" x14ac:dyDescent="0.2">
      <c r="A110" s="18">
        <v>8</v>
      </c>
      <c r="B110" s="20" t="s">
        <v>131</v>
      </c>
      <c r="C110" s="19" t="s">
        <v>132</v>
      </c>
      <c r="D110" s="19"/>
      <c r="E110" s="20" t="e" vm="3">
        <v>#VALUE!</v>
      </c>
      <c r="F110" s="20"/>
      <c r="G110" s="20" t="s">
        <v>47</v>
      </c>
      <c r="H110" s="20"/>
      <c r="I110" s="20" t="str">
        <f t="shared" si="3"/>
        <v>blank</v>
      </c>
      <c r="J110" s="20"/>
      <c r="K110" s="20" t="s">
        <v>131</v>
      </c>
      <c r="L110" s="20" t="s">
        <v>133</v>
      </c>
      <c r="M110" s="20">
        <v>991</v>
      </c>
      <c r="N110" s="20" t="s">
        <v>134</v>
      </c>
      <c r="O110" s="20" t="s">
        <v>46</v>
      </c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 t="s">
        <v>135</v>
      </c>
      <c r="AA110" s="20" t="s">
        <v>133</v>
      </c>
      <c r="AB110" s="20">
        <v>991</v>
      </c>
    </row>
  </sheetData>
  <autoFilter ref="A6:AB107" xr:uid="{00000000-0009-0000-0000-000001000000}"/>
  <mergeCells count="26">
    <mergeCell ref="P4:R4"/>
    <mergeCell ref="S4:U4"/>
    <mergeCell ref="V4:V5"/>
    <mergeCell ref="W4:W5"/>
    <mergeCell ref="X4:X5"/>
    <mergeCell ref="F1:X1"/>
    <mergeCell ref="Y1:Y5"/>
    <mergeCell ref="Z1:Z5"/>
    <mergeCell ref="AA1:AB5"/>
    <mergeCell ref="F2:F5"/>
    <mergeCell ref="G2:X2"/>
    <mergeCell ref="G3:G5"/>
    <mergeCell ref="H3:H5"/>
    <mergeCell ref="I3:U3"/>
    <mergeCell ref="W3:X3"/>
    <mergeCell ref="I4:I5"/>
    <mergeCell ref="J4:J5"/>
    <mergeCell ref="K4:K5"/>
    <mergeCell ref="L4:M4"/>
    <mergeCell ref="N4:N5"/>
    <mergeCell ref="O4:O5"/>
    <mergeCell ref="A1:A5"/>
    <mergeCell ref="B1:B5"/>
    <mergeCell ref="C1:C5"/>
    <mergeCell ref="D1:D5"/>
    <mergeCell ref="E1:E5"/>
  </mergeCells>
  <dataValidations count="4">
    <dataValidation type="whole" operator="equal" allowBlank="1" showErrorMessage="1" sqref="Q111:Q216" xr:uid="{00000000-0002-0000-0100-000006000000}">
      <formula1>0</formula1>
      <formula2>0</formula2>
    </dataValidation>
    <dataValidation type="whole" operator="greaterThan" allowBlank="1" showErrorMessage="1" sqref="T111:T216" xr:uid="{00000000-0002-0000-0100-00000A000000}">
      <formula1>0</formula1>
      <formula2>0</formula2>
    </dataValidation>
    <dataValidation operator="equal" allowBlank="1" showErrorMessage="1" sqref="Q7:Q110" xr:uid="{00000000-0002-0000-0100-00000B000000}">
      <formula1>0</formula1>
      <formula2>0</formula2>
    </dataValidation>
    <dataValidation operator="greaterThan" allowBlank="1" showErrorMessage="1" sqref="T7:T110" xr:uid="{00000000-0002-0000-0100-00000C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Roman,obyčejné"&amp;12&amp;A</oddHeader>
    <oddFooter>&amp;C&amp;"Times New Roman,obyčejné"&amp;12Stránka &amp;P</oddFooter>
  </headerFooter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operator="equal" allowBlank="1" showErrorMessage="1" xr:uid="{00000000-0002-0000-0100-000000000000}">
          <x14:formula1>
            <xm:f>'enumeration-values'!$L$2:$L$4</xm:f>
          </x14:formula1>
          <x14:formula2>
            <xm:f>0</xm:f>
          </x14:formula2>
          <xm:sqref>J111:J216 O111:O216 O7:O107 J7:J107 G7:H107 G111:H216</xm:sqref>
        </x14:dataValidation>
        <x14:dataValidation type="list" operator="equal" allowBlank="1" showErrorMessage="1" xr:uid="{00000000-0002-0000-0100-000001000000}">
          <x14:formula1>
            <xm:f>'enumeration-values'!$C$2:$C$10</xm:f>
          </x14:formula1>
          <x14:formula2>
            <xm:f>0</xm:f>
          </x14:formula2>
          <xm:sqref>F7:F107 F111:F216</xm:sqref>
        </x14:dataValidation>
        <x14:dataValidation type="list" operator="equal" allowBlank="1" showErrorMessage="1" xr:uid="{00000000-0002-0000-0100-000002000000}">
          <x14:formula1>
            <xm:f>'enumeration-values'!$E$2:$E$14</xm:f>
          </x14:formula1>
          <x14:formula2>
            <xm:f>0</xm:f>
          </x14:formula2>
          <xm:sqref>K7:K107 K111:K216</xm:sqref>
        </x14:dataValidation>
        <x14:dataValidation type="list" operator="equal" allowBlank="1" showErrorMessage="1" xr:uid="{00000000-0002-0000-0100-000003000000}">
          <x14:formula1>
            <xm:f>'enumeration-values'!$F$2:$F$8</xm:f>
          </x14:formula1>
          <x14:formula2>
            <xm:f>0</xm:f>
          </x14:formula2>
          <xm:sqref>L111:L216 AA7:AA105 AA107 L7:L107</xm:sqref>
        </x14:dataValidation>
        <x14:dataValidation type="list" operator="equal" allowBlank="1" showErrorMessage="1" xr:uid="{00000000-0002-0000-0100-000004000000}">
          <x14:formula1>
            <xm:f>'enumeration-values'!$G$2:$G$53</xm:f>
          </x14:formula1>
          <x14:formula2>
            <xm:f>0</xm:f>
          </x14:formula2>
          <xm:sqref>N7:N107 N111:N216</xm:sqref>
        </x14:dataValidation>
        <x14:dataValidation type="list" operator="equal" allowBlank="1" showErrorMessage="1" xr:uid="{00000000-0002-0000-0100-000005000000}">
          <x14:formula1>
            <xm:f>'enumeration-values'!$H$2:$H$11</xm:f>
          </x14:formula1>
          <x14:formula2>
            <xm:f>0</xm:f>
          </x14:formula2>
          <xm:sqref>S111:S216 S7:S107 P7:P107 P111:P216</xm:sqref>
        </x14:dataValidation>
        <x14:dataValidation type="list" operator="equal" allowBlank="1" showErrorMessage="1" xr:uid="{00000000-0002-0000-0100-000007000000}">
          <x14:formula1>
            <xm:f>'enumeration-values'!$I$2:$I$12</xm:f>
          </x14:formula1>
          <x14:formula2>
            <xm:f>0</xm:f>
          </x14:formula2>
          <xm:sqref>U111:U216 U7:U107 R7:R107 R111:R216</xm:sqref>
        </x14:dataValidation>
        <x14:dataValidation type="list" operator="equal" allowBlank="1" showErrorMessage="1" xr:uid="{00000000-0002-0000-0100-000008000000}">
          <x14:formula1>
            <xm:f>'enumeration-values'!$J$2:$J$10</xm:f>
          </x14:formula1>
          <x14:formula2>
            <xm:f>0</xm:f>
          </x14:formula2>
          <xm:sqref>V7:V107 V111:V216</xm:sqref>
        </x14:dataValidation>
        <x14:dataValidation type="list" operator="equal" allowBlank="1" showErrorMessage="1" xr:uid="{00000000-0002-0000-0100-000009000000}">
          <x14:formula1>
            <xm:f>'enumeration-values'!$K$2:$K$18</xm:f>
          </x14:formula1>
          <x14:formula2>
            <xm:f>0</xm:f>
          </x14:formula2>
          <xm:sqref>X7:X107 X111:X216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="110" zoomScaleNormal="110" workbookViewId="0"/>
  </sheetViews>
  <sheetFormatPr defaultColWidth="11.5703125" defaultRowHeight="12.75" x14ac:dyDescent="0.2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Roman,obyčejné"&amp;12&amp;A</oddHeader>
    <oddFooter>&amp;C&amp;"Times New Roman,obyčejné"&amp;12Page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2"/>
  <sheetViews>
    <sheetView topLeftCell="E1" zoomScale="140" zoomScaleNormal="140" workbookViewId="0">
      <selection activeCell="R2" sqref="R2"/>
    </sheetView>
  </sheetViews>
  <sheetFormatPr defaultColWidth="11.5703125" defaultRowHeight="12.75" x14ac:dyDescent="0.2"/>
  <cols>
    <col min="1" max="1" width="3.140625" style="38" customWidth="1"/>
    <col min="2" max="2" width="16.5703125" style="38" customWidth="1"/>
    <col min="3" max="3" width="24.28515625" style="38" customWidth="1"/>
    <col min="4" max="4" width="17.85546875" style="38" customWidth="1"/>
    <col min="5" max="5" width="17.5703125" style="38" customWidth="1"/>
    <col min="6" max="6" width="21.140625" style="38" customWidth="1"/>
    <col min="7" max="7" width="40.7109375" style="38" customWidth="1"/>
    <col min="8" max="8" width="32.42578125" style="38" customWidth="1"/>
    <col min="9" max="9" width="16.85546875" style="38" customWidth="1"/>
    <col min="10" max="10" width="34.140625" style="38" customWidth="1"/>
    <col min="11" max="11" width="38.85546875" style="38" customWidth="1"/>
    <col min="12" max="12" width="5" style="38" customWidth="1"/>
    <col min="13" max="13" width="21.7109375" style="38" customWidth="1"/>
    <col min="14" max="14" width="16.85546875" style="38" customWidth="1"/>
    <col min="15" max="15" width="16.5703125" style="38" customWidth="1"/>
    <col min="16" max="16" width="17.85546875" style="38" customWidth="1"/>
    <col min="17" max="17" width="29.140625" style="38" customWidth="1"/>
    <col min="18" max="18" width="23.42578125" style="38" customWidth="1"/>
    <col min="19" max="19" width="24" style="38" customWidth="1"/>
    <col min="20" max="20" width="16.85546875" style="38" customWidth="1"/>
    <col min="21" max="1024" width="11.5703125" style="38"/>
  </cols>
  <sheetData>
    <row r="1" spans="1:21" x14ac:dyDescent="0.2">
      <c r="A1" s="39" t="s">
        <v>29</v>
      </c>
      <c r="B1" s="40" t="s">
        <v>279</v>
      </c>
      <c r="C1" s="40" t="s">
        <v>32</v>
      </c>
      <c r="D1" s="40" t="s">
        <v>280</v>
      </c>
      <c r="E1" s="40" t="s">
        <v>34</v>
      </c>
      <c r="F1" s="40" t="s">
        <v>35</v>
      </c>
      <c r="G1" s="40" t="s">
        <v>37</v>
      </c>
      <c r="H1" s="40" t="s">
        <v>38</v>
      </c>
      <c r="I1" s="40" t="s">
        <v>40</v>
      </c>
      <c r="J1" s="40" t="s">
        <v>41</v>
      </c>
      <c r="K1" s="40" t="s">
        <v>42</v>
      </c>
      <c r="L1" s="41" t="s">
        <v>33</v>
      </c>
      <c r="M1" s="38" t="s">
        <v>281</v>
      </c>
      <c r="N1" s="38" t="s">
        <v>282</v>
      </c>
      <c r="O1" s="38" t="s">
        <v>279</v>
      </c>
      <c r="P1" s="38" t="s">
        <v>280</v>
      </c>
      <c r="Q1" s="38" t="s">
        <v>283</v>
      </c>
      <c r="R1" s="38" t="s">
        <v>284</v>
      </c>
      <c r="S1" s="38" t="s">
        <v>285</v>
      </c>
      <c r="T1" s="38" t="s">
        <v>286</v>
      </c>
      <c r="U1" s="38" t="s">
        <v>287</v>
      </c>
    </row>
    <row r="2" spans="1:21" x14ac:dyDescent="0.2">
      <c r="A2" s="38">
        <v>1</v>
      </c>
      <c r="B2" s="41" t="s">
        <v>131</v>
      </c>
      <c r="C2" s="41" t="s">
        <v>288</v>
      </c>
      <c r="D2" s="41" t="s">
        <v>289</v>
      </c>
      <c r="E2" s="41" t="s">
        <v>131</v>
      </c>
      <c r="F2" s="41" t="s">
        <v>60</v>
      </c>
      <c r="G2" s="41" t="s">
        <v>134</v>
      </c>
      <c r="H2" s="41" t="s">
        <v>143</v>
      </c>
      <c r="I2" s="41" t="s">
        <v>290</v>
      </c>
      <c r="J2" s="41" t="s">
        <v>258</v>
      </c>
      <c r="K2" s="41" t="s">
        <v>145</v>
      </c>
      <c r="L2" s="41" t="s">
        <v>47</v>
      </c>
      <c r="M2" s="41" t="s">
        <v>291</v>
      </c>
      <c r="N2" s="41" t="s">
        <v>292</v>
      </c>
      <c r="O2" s="41" t="s">
        <v>131</v>
      </c>
      <c r="P2" s="41" t="s">
        <v>289</v>
      </c>
      <c r="Q2" s="38" t="s">
        <v>293</v>
      </c>
      <c r="R2" s="38" t="s">
        <v>294</v>
      </c>
      <c r="S2" s="38" t="s">
        <v>295</v>
      </c>
      <c r="T2" s="38" t="s">
        <v>296</v>
      </c>
      <c r="U2" s="42" t="s">
        <v>297</v>
      </c>
    </row>
    <row r="3" spans="1:21" x14ac:dyDescent="0.2">
      <c r="A3" s="38">
        <v>2</v>
      </c>
      <c r="B3" s="41" t="s">
        <v>298</v>
      </c>
      <c r="C3" s="41" t="s">
        <v>299</v>
      </c>
      <c r="D3" s="41" t="s">
        <v>300</v>
      </c>
      <c r="E3" s="41" t="s">
        <v>301</v>
      </c>
      <c r="F3" s="41" t="s">
        <v>49</v>
      </c>
      <c r="G3" s="41" t="s">
        <v>302</v>
      </c>
      <c r="H3" s="41" t="s">
        <v>303</v>
      </c>
      <c r="I3" s="41" t="s">
        <v>304</v>
      </c>
      <c r="J3" s="41" t="s">
        <v>305</v>
      </c>
      <c r="K3" s="41" t="s">
        <v>306</v>
      </c>
      <c r="L3" s="41" t="s">
        <v>46</v>
      </c>
      <c r="M3" s="41" t="s">
        <v>307</v>
      </c>
      <c r="N3" s="41" t="s">
        <v>308</v>
      </c>
      <c r="O3" s="41" t="s">
        <v>298</v>
      </c>
      <c r="P3" s="41" t="s">
        <v>300</v>
      </c>
      <c r="Q3" s="38" t="s">
        <v>309</v>
      </c>
      <c r="R3" s="38" t="s">
        <v>310</v>
      </c>
      <c r="S3" s="38" t="s">
        <v>311</v>
      </c>
      <c r="T3" s="38" t="s">
        <v>312</v>
      </c>
      <c r="U3" s="42" t="s">
        <v>313</v>
      </c>
    </row>
    <row r="4" spans="1:21" x14ac:dyDescent="0.2">
      <c r="A4" s="38">
        <v>3</v>
      </c>
      <c r="B4" s="41" t="s">
        <v>314</v>
      </c>
      <c r="C4" s="41" t="s">
        <v>315</v>
      </c>
      <c r="D4" s="41" t="s">
        <v>316</v>
      </c>
      <c r="E4" s="41" t="s">
        <v>317</v>
      </c>
      <c r="F4" s="41" t="s">
        <v>133</v>
      </c>
      <c r="G4" s="41" t="s">
        <v>318</v>
      </c>
      <c r="H4" s="41" t="s">
        <v>319</v>
      </c>
      <c r="I4" s="41" t="s">
        <v>320</v>
      </c>
      <c r="J4" s="41" t="s">
        <v>261</v>
      </c>
      <c r="K4" s="41" t="s">
        <v>321</v>
      </c>
      <c r="M4" s="41" t="s">
        <v>322</v>
      </c>
      <c r="N4" s="41" t="s">
        <v>323</v>
      </c>
      <c r="O4" s="41" t="s">
        <v>314</v>
      </c>
      <c r="P4" s="41" t="s">
        <v>316</v>
      </c>
      <c r="Q4" s="38" t="s">
        <v>324</v>
      </c>
      <c r="R4" s="38" t="s">
        <v>325</v>
      </c>
      <c r="S4" s="38" t="s">
        <v>326</v>
      </c>
      <c r="T4" s="38" t="s">
        <v>327</v>
      </c>
      <c r="U4" s="42" t="s">
        <v>121</v>
      </c>
    </row>
    <row r="5" spans="1:21" x14ac:dyDescent="0.2">
      <c r="A5" s="38">
        <v>4</v>
      </c>
      <c r="B5" s="41" t="s">
        <v>328</v>
      </c>
      <c r="C5" s="41" t="s">
        <v>138</v>
      </c>
      <c r="D5" s="41" t="s">
        <v>121</v>
      </c>
      <c r="E5" s="41" t="s">
        <v>272</v>
      </c>
      <c r="F5" s="41" t="s">
        <v>329</v>
      </c>
      <c r="G5" s="41" t="s">
        <v>273</v>
      </c>
      <c r="H5" s="41" t="s">
        <v>330</v>
      </c>
      <c r="I5" s="41" t="s">
        <v>113</v>
      </c>
      <c r="J5" s="41" t="s">
        <v>331</v>
      </c>
      <c r="K5" s="41" t="s">
        <v>332</v>
      </c>
      <c r="M5" s="41" t="s">
        <v>333</v>
      </c>
      <c r="N5" s="41" t="s">
        <v>121</v>
      </c>
      <c r="O5" s="41" t="s">
        <v>328</v>
      </c>
      <c r="P5" s="41" t="s">
        <v>121</v>
      </c>
      <c r="R5" s="38" t="s">
        <v>334</v>
      </c>
      <c r="S5" s="38" t="s">
        <v>335</v>
      </c>
      <c r="T5" s="38" t="s">
        <v>336</v>
      </c>
      <c r="U5" s="42" t="s">
        <v>337</v>
      </c>
    </row>
    <row r="6" spans="1:21" x14ac:dyDescent="0.2">
      <c r="A6" s="38">
        <v>5</v>
      </c>
      <c r="C6" s="41" t="s">
        <v>45</v>
      </c>
      <c r="D6" s="41" t="s">
        <v>338</v>
      </c>
      <c r="E6" s="41" t="s">
        <v>339</v>
      </c>
      <c r="F6" s="41" t="s">
        <v>100</v>
      </c>
      <c r="G6" s="41" t="s">
        <v>264</v>
      </c>
      <c r="H6" s="41" t="s">
        <v>187</v>
      </c>
      <c r="I6" s="41" t="s">
        <v>144</v>
      </c>
      <c r="J6" s="41" t="s">
        <v>240</v>
      </c>
      <c r="K6" s="41" t="s">
        <v>340</v>
      </c>
      <c r="M6" s="41" t="s">
        <v>341</v>
      </c>
      <c r="N6" s="41" t="s">
        <v>342</v>
      </c>
      <c r="P6" s="41" t="s">
        <v>338</v>
      </c>
      <c r="R6" s="38" t="s">
        <v>343</v>
      </c>
      <c r="S6" s="38" t="s">
        <v>344</v>
      </c>
      <c r="U6" s="42" t="s">
        <v>345</v>
      </c>
    </row>
    <row r="7" spans="1:21" x14ac:dyDescent="0.2">
      <c r="A7" s="38">
        <v>6</v>
      </c>
      <c r="C7" s="41" t="s">
        <v>346</v>
      </c>
      <c r="D7" s="41" t="s">
        <v>347</v>
      </c>
      <c r="E7" s="41" t="s">
        <v>248</v>
      </c>
      <c r="F7" s="41" t="s">
        <v>69</v>
      </c>
      <c r="G7" s="41" t="s">
        <v>348</v>
      </c>
      <c r="H7" s="41" t="s">
        <v>112</v>
      </c>
      <c r="I7" s="41" t="s">
        <v>349</v>
      </c>
      <c r="J7" s="41" t="s">
        <v>243</v>
      </c>
      <c r="K7" s="41" t="s">
        <v>350</v>
      </c>
      <c r="M7" s="41" t="s">
        <v>351</v>
      </c>
      <c r="N7" s="41" t="s">
        <v>352</v>
      </c>
      <c r="P7" s="41" t="s">
        <v>347</v>
      </c>
      <c r="R7" s="38" t="s">
        <v>353</v>
      </c>
      <c r="S7" s="38" t="s">
        <v>354</v>
      </c>
      <c r="U7" s="42" t="s">
        <v>336</v>
      </c>
    </row>
    <row r="8" spans="1:21" x14ac:dyDescent="0.2">
      <c r="A8" s="38">
        <v>7</v>
      </c>
      <c r="C8" s="41" t="s">
        <v>98</v>
      </c>
      <c r="D8" s="41" t="s">
        <v>355</v>
      </c>
      <c r="E8" s="41" t="s">
        <v>121</v>
      </c>
      <c r="F8" s="43" t="s">
        <v>139</v>
      </c>
      <c r="G8" s="41" t="s">
        <v>356</v>
      </c>
      <c r="H8" s="41" t="s">
        <v>104</v>
      </c>
      <c r="I8" s="41" t="s">
        <v>357</v>
      </c>
      <c r="J8" s="41" t="s">
        <v>237</v>
      </c>
      <c r="K8" s="41" t="s">
        <v>358</v>
      </c>
      <c r="M8" s="41" t="s">
        <v>359</v>
      </c>
      <c r="N8" s="41" t="s">
        <v>360</v>
      </c>
      <c r="P8" s="41" t="s">
        <v>355</v>
      </c>
      <c r="R8" s="38" t="s">
        <v>361</v>
      </c>
      <c r="S8" s="38" t="s">
        <v>362</v>
      </c>
    </row>
    <row r="9" spans="1:21" x14ac:dyDescent="0.2">
      <c r="A9" s="38">
        <v>8</v>
      </c>
      <c r="C9" s="41" t="s">
        <v>363</v>
      </c>
      <c r="D9" s="41"/>
      <c r="E9" s="41" t="s">
        <v>99</v>
      </c>
      <c r="G9" s="41" t="s">
        <v>364</v>
      </c>
      <c r="H9" s="41" t="s">
        <v>365</v>
      </c>
      <c r="I9" s="41" t="s">
        <v>366</v>
      </c>
      <c r="J9" s="41" t="s">
        <v>367</v>
      </c>
      <c r="K9" s="41" t="s">
        <v>188</v>
      </c>
      <c r="M9" s="41" t="s">
        <v>368</v>
      </c>
      <c r="N9" s="41" t="s">
        <v>369</v>
      </c>
      <c r="R9" s="38" t="s">
        <v>370</v>
      </c>
      <c r="S9" s="38" t="s">
        <v>371</v>
      </c>
    </row>
    <row r="10" spans="1:21" x14ac:dyDescent="0.2">
      <c r="A10" s="38">
        <v>9</v>
      </c>
      <c r="E10" s="41" t="s">
        <v>372</v>
      </c>
      <c r="G10" s="41" t="s">
        <v>373</v>
      </c>
      <c r="H10" s="41" t="s">
        <v>268</v>
      </c>
      <c r="I10" s="41" t="s">
        <v>105</v>
      </c>
      <c r="K10" s="41" t="s">
        <v>374</v>
      </c>
      <c r="R10" s="38" t="s">
        <v>375</v>
      </c>
      <c r="S10" s="38" t="s">
        <v>376</v>
      </c>
    </row>
    <row r="11" spans="1:21" x14ac:dyDescent="0.2">
      <c r="A11" s="38">
        <v>10</v>
      </c>
      <c r="E11" s="41" t="s">
        <v>363</v>
      </c>
      <c r="G11" s="41" t="s">
        <v>377</v>
      </c>
      <c r="I11" s="38" t="s">
        <v>378</v>
      </c>
      <c r="K11" s="41" t="s">
        <v>121</v>
      </c>
      <c r="R11" s="38" t="s">
        <v>379</v>
      </c>
      <c r="S11" s="38" t="s">
        <v>380</v>
      </c>
    </row>
    <row r="12" spans="1:21" x14ac:dyDescent="0.2">
      <c r="A12" s="38">
        <v>11</v>
      </c>
      <c r="E12" s="41" t="s">
        <v>277</v>
      </c>
      <c r="G12" s="41" t="s">
        <v>381</v>
      </c>
      <c r="K12" s="41" t="s">
        <v>382</v>
      </c>
      <c r="R12" s="38" t="s">
        <v>383</v>
      </c>
      <c r="S12" s="38" t="s">
        <v>384</v>
      </c>
    </row>
    <row r="13" spans="1:21" x14ac:dyDescent="0.2">
      <c r="A13" s="38">
        <v>12</v>
      </c>
      <c r="E13" s="41" t="s">
        <v>48</v>
      </c>
      <c r="G13" s="41" t="s">
        <v>385</v>
      </c>
      <c r="K13" s="41" t="s">
        <v>386</v>
      </c>
      <c r="R13" s="38" t="s">
        <v>387</v>
      </c>
      <c r="S13" s="38" t="s">
        <v>388</v>
      </c>
    </row>
    <row r="14" spans="1:21" x14ac:dyDescent="0.2">
      <c r="A14" s="38">
        <v>13</v>
      </c>
      <c r="G14" s="41" t="s">
        <v>389</v>
      </c>
      <c r="K14" s="41" t="s">
        <v>278</v>
      </c>
      <c r="R14" s="38" t="s">
        <v>390</v>
      </c>
      <c r="S14" s="38" t="s">
        <v>391</v>
      </c>
    </row>
    <row r="15" spans="1:21" x14ac:dyDescent="0.2">
      <c r="A15" s="38">
        <v>14</v>
      </c>
      <c r="G15" s="41" t="s">
        <v>392</v>
      </c>
      <c r="K15" s="41" t="s">
        <v>393</v>
      </c>
      <c r="R15" s="38" t="s">
        <v>394</v>
      </c>
      <c r="S15" s="38" t="s">
        <v>395</v>
      </c>
    </row>
    <row r="16" spans="1:21" x14ac:dyDescent="0.2">
      <c r="A16" s="38">
        <v>15</v>
      </c>
      <c r="G16" s="41" t="s">
        <v>396</v>
      </c>
      <c r="K16" s="41" t="s">
        <v>397</v>
      </c>
      <c r="R16" s="38" t="s">
        <v>398</v>
      </c>
      <c r="S16" s="38" t="s">
        <v>399</v>
      </c>
    </row>
    <row r="17" spans="1:19" x14ac:dyDescent="0.2">
      <c r="A17" s="38">
        <v>16</v>
      </c>
      <c r="G17" s="41" t="s">
        <v>400</v>
      </c>
      <c r="K17" s="41" t="s">
        <v>401</v>
      </c>
      <c r="R17" s="38" t="s">
        <v>402</v>
      </c>
      <c r="S17" s="38" t="s">
        <v>403</v>
      </c>
    </row>
    <row r="18" spans="1:19" x14ac:dyDescent="0.2">
      <c r="A18" s="38">
        <v>17</v>
      </c>
      <c r="G18" s="41" t="s">
        <v>404</v>
      </c>
      <c r="R18" s="38" t="s">
        <v>405</v>
      </c>
      <c r="S18" s="38" t="s">
        <v>406</v>
      </c>
    </row>
    <row r="19" spans="1:19" x14ac:dyDescent="0.2">
      <c r="A19" s="38">
        <v>18</v>
      </c>
      <c r="G19" s="41" t="s">
        <v>407</v>
      </c>
      <c r="R19" s="38" t="s">
        <v>408</v>
      </c>
      <c r="S19" s="38" t="s">
        <v>409</v>
      </c>
    </row>
    <row r="20" spans="1:19" x14ac:dyDescent="0.2">
      <c r="A20" s="38">
        <v>19</v>
      </c>
      <c r="G20" s="41" t="s">
        <v>410</v>
      </c>
      <c r="S20" s="38" t="s">
        <v>411</v>
      </c>
    </row>
    <row r="21" spans="1:19" x14ac:dyDescent="0.2">
      <c r="A21" s="38">
        <v>20</v>
      </c>
      <c r="G21" s="41" t="s">
        <v>412</v>
      </c>
      <c r="S21" s="38" t="s">
        <v>413</v>
      </c>
    </row>
    <row r="22" spans="1:19" x14ac:dyDescent="0.2">
      <c r="A22" s="38">
        <v>21</v>
      </c>
      <c r="G22" s="41" t="s">
        <v>414</v>
      </c>
      <c r="S22" s="38" t="s">
        <v>415</v>
      </c>
    </row>
    <row r="23" spans="1:19" x14ac:dyDescent="0.2">
      <c r="A23" s="38">
        <v>22</v>
      </c>
      <c r="G23" s="41" t="s">
        <v>416</v>
      </c>
      <c r="S23" s="38" t="s">
        <v>417</v>
      </c>
    </row>
    <row r="24" spans="1:19" x14ac:dyDescent="0.2">
      <c r="A24" s="38">
        <v>23</v>
      </c>
      <c r="G24" s="41" t="s">
        <v>418</v>
      </c>
      <c r="S24" s="38" t="s">
        <v>419</v>
      </c>
    </row>
    <row r="25" spans="1:19" x14ac:dyDescent="0.2">
      <c r="A25" s="38">
        <v>24</v>
      </c>
      <c r="G25" s="41" t="s">
        <v>420</v>
      </c>
      <c r="S25" s="38" t="s">
        <v>421</v>
      </c>
    </row>
    <row r="26" spans="1:19" x14ac:dyDescent="0.2">
      <c r="A26" s="38">
        <v>25</v>
      </c>
      <c r="G26" s="41" t="s">
        <v>422</v>
      </c>
      <c r="S26" s="38" t="s">
        <v>423</v>
      </c>
    </row>
    <row r="27" spans="1:19" x14ac:dyDescent="0.2">
      <c r="A27" s="38">
        <v>26</v>
      </c>
      <c r="G27" s="41" t="s">
        <v>424</v>
      </c>
      <c r="S27" s="38" t="s">
        <v>425</v>
      </c>
    </row>
    <row r="28" spans="1:19" x14ac:dyDescent="0.2">
      <c r="A28" s="38">
        <v>27</v>
      </c>
      <c r="G28" s="41" t="s">
        <v>426</v>
      </c>
      <c r="S28" s="38" t="s">
        <v>427</v>
      </c>
    </row>
    <row r="29" spans="1:19" x14ac:dyDescent="0.2">
      <c r="A29" s="38">
        <v>28</v>
      </c>
      <c r="G29" s="41" t="s">
        <v>428</v>
      </c>
    </row>
    <row r="30" spans="1:19" x14ac:dyDescent="0.2">
      <c r="A30" s="38">
        <v>29</v>
      </c>
      <c r="G30" s="41" t="s">
        <v>429</v>
      </c>
    </row>
    <row r="31" spans="1:19" x14ac:dyDescent="0.2">
      <c r="A31" s="38">
        <v>30</v>
      </c>
      <c r="G31" s="41" t="s">
        <v>430</v>
      </c>
    </row>
    <row r="32" spans="1:19" x14ac:dyDescent="0.2">
      <c r="A32" s="38">
        <v>31</v>
      </c>
      <c r="G32" s="41" t="s">
        <v>431</v>
      </c>
    </row>
    <row r="33" spans="1:7" x14ac:dyDescent="0.2">
      <c r="A33" s="38">
        <v>32</v>
      </c>
      <c r="G33" s="41" t="s">
        <v>432</v>
      </c>
    </row>
    <row r="34" spans="1:7" x14ac:dyDescent="0.2">
      <c r="A34" s="38">
        <v>33</v>
      </c>
      <c r="G34" s="41" t="s">
        <v>433</v>
      </c>
    </row>
    <row r="35" spans="1:7" x14ac:dyDescent="0.2">
      <c r="A35" s="38">
        <v>34</v>
      </c>
      <c r="G35" s="41" t="s">
        <v>434</v>
      </c>
    </row>
    <row r="36" spans="1:7" x14ac:dyDescent="0.2">
      <c r="A36" s="38">
        <v>35</v>
      </c>
      <c r="G36" s="41" t="s">
        <v>435</v>
      </c>
    </row>
    <row r="37" spans="1:7" x14ac:dyDescent="0.2">
      <c r="A37" s="38">
        <v>36</v>
      </c>
      <c r="G37" s="41" t="s">
        <v>267</v>
      </c>
    </row>
    <row r="38" spans="1:7" x14ac:dyDescent="0.2">
      <c r="A38" s="38">
        <v>37</v>
      </c>
      <c r="G38" s="41" t="s">
        <v>436</v>
      </c>
    </row>
    <row r="39" spans="1:7" x14ac:dyDescent="0.2">
      <c r="A39" s="38">
        <v>38</v>
      </c>
      <c r="G39" s="41" t="s">
        <v>437</v>
      </c>
    </row>
    <row r="40" spans="1:7" x14ac:dyDescent="0.2">
      <c r="A40" s="38">
        <v>39</v>
      </c>
      <c r="G40" s="41" t="s">
        <v>121</v>
      </c>
    </row>
    <row r="41" spans="1:7" x14ac:dyDescent="0.2">
      <c r="A41" s="38">
        <v>40</v>
      </c>
      <c r="G41" s="41" t="s">
        <v>438</v>
      </c>
    </row>
    <row r="42" spans="1:7" x14ac:dyDescent="0.2">
      <c r="A42" s="38">
        <v>41</v>
      </c>
      <c r="G42" s="41" t="s">
        <v>439</v>
      </c>
    </row>
    <row r="43" spans="1:7" x14ac:dyDescent="0.2">
      <c r="A43" s="38">
        <v>42</v>
      </c>
      <c r="G43" s="41" t="s">
        <v>440</v>
      </c>
    </row>
    <row r="44" spans="1:7" x14ac:dyDescent="0.2">
      <c r="A44" s="38">
        <v>43</v>
      </c>
      <c r="G44" s="41" t="s">
        <v>441</v>
      </c>
    </row>
    <row r="45" spans="1:7" x14ac:dyDescent="0.2">
      <c r="A45" s="38">
        <v>44</v>
      </c>
      <c r="G45" s="41" t="s">
        <v>442</v>
      </c>
    </row>
    <row r="46" spans="1:7" x14ac:dyDescent="0.2">
      <c r="A46" s="38">
        <v>45</v>
      </c>
      <c r="G46" s="41" t="s">
        <v>443</v>
      </c>
    </row>
    <row r="47" spans="1:7" x14ac:dyDescent="0.2">
      <c r="A47" s="38">
        <v>46</v>
      </c>
      <c r="G47" s="41" t="s">
        <v>444</v>
      </c>
    </row>
    <row r="48" spans="1:7" x14ac:dyDescent="0.2">
      <c r="A48" s="38">
        <v>47</v>
      </c>
      <c r="G48" s="41" t="s">
        <v>445</v>
      </c>
    </row>
    <row r="49" spans="1:7" x14ac:dyDescent="0.2">
      <c r="A49" s="38">
        <v>48</v>
      </c>
      <c r="G49" s="41" t="s">
        <v>446</v>
      </c>
    </row>
    <row r="50" spans="1:7" x14ac:dyDescent="0.2">
      <c r="A50" s="38">
        <v>49</v>
      </c>
      <c r="G50" s="41" t="s">
        <v>447</v>
      </c>
    </row>
    <row r="51" spans="1:7" x14ac:dyDescent="0.2">
      <c r="A51" s="38">
        <v>50</v>
      </c>
      <c r="G51" s="41" t="s">
        <v>448</v>
      </c>
    </row>
    <row r="52" spans="1:7" x14ac:dyDescent="0.2">
      <c r="A52" s="38">
        <v>51</v>
      </c>
      <c r="G52" s="41" t="s">
        <v>449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Roman,obyčejné"&amp;12&amp;A</oddHeader>
    <oddFooter>&amp;C&amp;"Times New Roman,obyčejné"&amp;12Stránka 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D15"/>
  <sheetViews>
    <sheetView zoomScale="140" zoomScaleNormal="140" workbookViewId="0">
      <pane xSplit="4" ySplit="6" topLeftCell="E7" activePane="bottomRight" state="frozen"/>
      <selection pane="topRight" activeCell="E1" sqref="E1"/>
      <selection pane="bottomLeft" activeCell="A7" sqref="A7"/>
      <selection pane="bottomRight" activeCell="I27" sqref="I27"/>
    </sheetView>
  </sheetViews>
  <sheetFormatPr defaultColWidth="11.5703125" defaultRowHeight="12.75" x14ac:dyDescent="0.2"/>
  <cols>
    <col min="1" max="1" width="7.42578125" style="38" customWidth="1"/>
    <col min="2" max="2" width="11.85546875" style="38" customWidth="1"/>
    <col min="3" max="3" width="21.28515625" style="38" customWidth="1"/>
    <col min="4" max="4" width="16.42578125" style="38" customWidth="1"/>
    <col min="5" max="5" width="13.140625" style="38" customWidth="1"/>
    <col min="6" max="6" width="9.140625" style="38" customWidth="1"/>
    <col min="7" max="7" width="8.140625" style="38" customWidth="1"/>
    <col min="8" max="8" width="11.85546875" style="38" customWidth="1"/>
    <col min="9" max="9" width="11.5703125" style="38"/>
    <col min="10" max="10" width="12.42578125" style="38" customWidth="1"/>
    <col min="11" max="11" width="10" style="38" customWidth="1"/>
    <col min="12" max="14" width="8.140625" style="38" customWidth="1"/>
    <col min="15" max="15" width="18.85546875" style="38" customWidth="1"/>
    <col min="16" max="16" width="11.5703125" style="38"/>
    <col min="17" max="17" width="10.5703125" style="38" customWidth="1"/>
    <col min="18" max="18" width="8" style="38" customWidth="1"/>
    <col min="19" max="19" width="9.140625" style="38" customWidth="1"/>
    <col min="20" max="20" width="9.28515625" style="38" customWidth="1"/>
    <col min="21" max="21" width="10.140625" style="38" customWidth="1"/>
    <col min="22" max="22" width="9.85546875" style="38" customWidth="1"/>
    <col min="23" max="23" width="11.140625" style="38" customWidth="1"/>
    <col min="24" max="24" width="9.7109375" style="38" customWidth="1"/>
    <col min="25" max="25" width="9.5703125" style="38" customWidth="1"/>
    <col min="26" max="26" width="9.42578125" style="38" customWidth="1"/>
    <col min="27" max="27" width="9.5703125" style="38" customWidth="1"/>
    <col min="28" max="1018" width="11.5703125" style="38"/>
  </cols>
  <sheetData>
    <row r="1" spans="1:28" ht="12.75" customHeight="1" x14ac:dyDescent="0.2">
      <c r="A1" s="10" t="s">
        <v>0</v>
      </c>
      <c r="B1" s="56" t="s">
        <v>450</v>
      </c>
      <c r="C1" s="10" t="s">
        <v>451</v>
      </c>
      <c r="D1" s="10" t="s">
        <v>4</v>
      </c>
      <c r="E1" s="7" t="s">
        <v>452</v>
      </c>
      <c r="F1" s="7" t="s">
        <v>453</v>
      </c>
      <c r="G1" s="9" t="s">
        <v>454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8" t="s">
        <v>6</v>
      </c>
    </row>
    <row r="2" spans="1:28" ht="12.75" customHeight="1" x14ac:dyDescent="0.2">
      <c r="A2" s="10"/>
      <c r="B2" s="10"/>
      <c r="C2" s="10"/>
      <c r="D2" s="10"/>
      <c r="E2" s="10"/>
      <c r="F2" s="10"/>
      <c r="G2" s="9" t="s">
        <v>455</v>
      </c>
      <c r="H2" s="9" t="s">
        <v>456</v>
      </c>
      <c r="I2" s="9" t="s">
        <v>457</v>
      </c>
      <c r="J2" s="9" t="s">
        <v>450</v>
      </c>
      <c r="K2" s="9" t="s">
        <v>458</v>
      </c>
      <c r="L2" s="57" t="s">
        <v>459</v>
      </c>
      <c r="M2" s="57" t="s">
        <v>460</v>
      </c>
      <c r="N2" s="58" t="s">
        <v>461</v>
      </c>
      <c r="O2" s="58"/>
      <c r="P2" s="58" t="s">
        <v>462</v>
      </c>
      <c r="Q2" s="58"/>
      <c r="R2" s="58"/>
      <c r="S2" s="58"/>
      <c r="T2" s="58"/>
      <c r="U2" s="58"/>
      <c r="V2" s="58"/>
      <c r="W2" s="58"/>
      <c r="X2" s="58"/>
      <c r="Y2" s="58"/>
      <c r="Z2" s="58"/>
      <c r="AA2" s="21" t="s">
        <v>463</v>
      </c>
      <c r="AB2" s="8"/>
    </row>
    <row r="3" spans="1:28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6" t="s">
        <v>464</v>
      </c>
      <c r="O3" s="22" t="s">
        <v>465</v>
      </c>
      <c r="P3" s="59" t="s">
        <v>466</v>
      </c>
      <c r="Q3" s="59"/>
      <c r="R3" s="59"/>
      <c r="S3" s="59"/>
      <c r="T3" s="59"/>
      <c r="U3" s="59"/>
      <c r="V3" s="59"/>
      <c r="W3" s="59" t="s">
        <v>467</v>
      </c>
      <c r="X3" s="59" t="s">
        <v>468</v>
      </c>
      <c r="Y3" s="59" t="s">
        <v>468</v>
      </c>
      <c r="Z3" s="59" t="s">
        <v>469</v>
      </c>
      <c r="AA3" s="59" t="s">
        <v>470</v>
      </c>
      <c r="AB3" s="8"/>
    </row>
    <row r="4" spans="1:28" ht="12.75" customHeight="1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2" t="s">
        <v>471</v>
      </c>
      <c r="P4" s="5" t="s">
        <v>472</v>
      </c>
      <c r="Q4" s="60" t="s">
        <v>473</v>
      </c>
      <c r="R4" s="60"/>
      <c r="S4" s="60"/>
      <c r="T4" s="60" t="s">
        <v>474</v>
      </c>
      <c r="U4" s="60"/>
      <c r="V4" s="60"/>
      <c r="W4" s="59"/>
      <c r="X4" s="59"/>
      <c r="Y4" s="59"/>
      <c r="Z4" s="59"/>
      <c r="AA4" s="59"/>
      <c r="AB4" s="8"/>
    </row>
    <row r="5" spans="1:28" ht="25.5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2"/>
      <c r="P5" s="2"/>
      <c r="Q5" s="24" t="s">
        <v>473</v>
      </c>
      <c r="R5" s="24" t="s">
        <v>475</v>
      </c>
      <c r="S5" s="24" t="s">
        <v>476</v>
      </c>
      <c r="T5" s="24" t="s">
        <v>477</v>
      </c>
      <c r="U5" s="24" t="s">
        <v>478</v>
      </c>
      <c r="V5" s="24" t="s">
        <v>479</v>
      </c>
      <c r="W5" s="59"/>
      <c r="X5" s="59"/>
      <c r="Y5" s="59"/>
      <c r="Z5" s="59"/>
      <c r="AA5" s="59"/>
      <c r="AB5" s="8"/>
    </row>
    <row r="6" spans="1:28" s="38" customFormat="1" ht="36" x14ac:dyDescent="0.2">
      <c r="A6" s="44" t="s">
        <v>29</v>
      </c>
      <c r="B6" s="44" t="s">
        <v>30</v>
      </c>
      <c r="C6" s="44" t="s">
        <v>31</v>
      </c>
      <c r="D6" s="44" t="s">
        <v>31</v>
      </c>
      <c r="E6" s="44" t="s">
        <v>30</v>
      </c>
      <c r="F6" s="44" t="s">
        <v>480</v>
      </c>
      <c r="G6" s="44" t="s">
        <v>33</v>
      </c>
      <c r="H6" s="45" t="s">
        <v>281</v>
      </c>
      <c r="I6" s="45" t="s">
        <v>282</v>
      </c>
      <c r="J6" s="44" t="s">
        <v>30</v>
      </c>
      <c r="K6" s="44" t="s">
        <v>33</v>
      </c>
      <c r="L6" s="44" t="s">
        <v>481</v>
      </c>
      <c r="M6" s="44" t="s">
        <v>482</v>
      </c>
      <c r="N6" s="44" t="s">
        <v>480</v>
      </c>
      <c r="O6" s="44" t="s">
        <v>101</v>
      </c>
      <c r="P6" s="44" t="s">
        <v>283</v>
      </c>
      <c r="Q6" s="44" t="s">
        <v>284</v>
      </c>
      <c r="R6" s="44" t="s">
        <v>480</v>
      </c>
      <c r="S6" s="44" t="s">
        <v>285</v>
      </c>
      <c r="T6" s="44" t="s">
        <v>30</v>
      </c>
      <c r="U6" s="44" t="s">
        <v>30</v>
      </c>
      <c r="V6" s="44" t="s">
        <v>30</v>
      </c>
      <c r="W6" s="44" t="s">
        <v>101</v>
      </c>
      <c r="X6" s="44" t="s">
        <v>101</v>
      </c>
      <c r="Y6" s="44" t="s">
        <v>101</v>
      </c>
      <c r="Z6" s="44" t="s">
        <v>101</v>
      </c>
      <c r="AA6" s="44" t="s">
        <v>101</v>
      </c>
      <c r="AB6" s="44" t="s">
        <v>31</v>
      </c>
    </row>
    <row r="7" spans="1:28" s="48" customFormat="1" ht="35.65" customHeight="1" x14ac:dyDescent="0.2">
      <c r="A7" s="46"/>
      <c r="B7" s="46"/>
      <c r="C7" s="46" t="s">
        <v>483</v>
      </c>
      <c r="D7" s="46"/>
      <c r="E7" s="46"/>
      <c r="F7" s="46">
        <v>1</v>
      </c>
      <c r="G7" s="46" t="s">
        <v>47</v>
      </c>
      <c r="H7" s="47" t="s">
        <v>307</v>
      </c>
      <c r="I7" s="47" t="s">
        <v>360</v>
      </c>
      <c r="J7" s="47">
        <f>B7</f>
        <v>0</v>
      </c>
      <c r="K7" s="47" t="s">
        <v>46</v>
      </c>
      <c r="L7" s="47" t="s">
        <v>484</v>
      </c>
      <c r="M7" s="47"/>
      <c r="N7" s="46">
        <v>2</v>
      </c>
      <c r="O7" s="46" t="s">
        <v>485</v>
      </c>
      <c r="P7" s="46" t="s">
        <v>293</v>
      </c>
      <c r="Q7" s="46" t="s">
        <v>375</v>
      </c>
      <c r="R7" s="46"/>
      <c r="S7" s="46" t="s">
        <v>295</v>
      </c>
      <c r="T7" s="46" t="s">
        <v>486</v>
      </c>
      <c r="U7" s="46" t="s">
        <v>487</v>
      </c>
      <c r="V7" s="46" t="s">
        <v>488</v>
      </c>
      <c r="W7" s="46" t="s">
        <v>489</v>
      </c>
      <c r="X7" s="46" t="s">
        <v>490</v>
      </c>
      <c r="Y7" s="46" t="s">
        <v>491</v>
      </c>
      <c r="Z7" s="46" t="s">
        <v>492</v>
      </c>
      <c r="AA7" s="46" t="s">
        <v>492</v>
      </c>
      <c r="AB7" s="46"/>
    </row>
    <row r="8" spans="1:28" s="48" customFormat="1" ht="48" x14ac:dyDescent="0.2">
      <c r="A8" s="46"/>
      <c r="B8" s="46"/>
      <c r="C8" s="46" t="s">
        <v>493</v>
      </c>
      <c r="D8" s="46"/>
      <c r="E8" s="46"/>
      <c r="F8" s="46">
        <v>1</v>
      </c>
      <c r="G8" s="46" t="s">
        <v>47</v>
      </c>
      <c r="H8" s="47" t="s">
        <v>333</v>
      </c>
      <c r="I8" s="47" t="s">
        <v>360</v>
      </c>
      <c r="J8" s="47">
        <f>B8</f>
        <v>0</v>
      </c>
      <c r="K8" s="47" t="s">
        <v>46</v>
      </c>
      <c r="L8" s="47" t="s">
        <v>484</v>
      </c>
      <c r="M8" s="47"/>
      <c r="N8" s="46">
        <v>2</v>
      </c>
      <c r="O8" s="46" t="s">
        <v>485</v>
      </c>
      <c r="P8" s="46" t="s">
        <v>324</v>
      </c>
      <c r="Q8" s="46" t="s">
        <v>375</v>
      </c>
      <c r="R8" s="46"/>
      <c r="S8" s="46" t="s">
        <v>295</v>
      </c>
      <c r="T8" s="46" t="s">
        <v>486</v>
      </c>
      <c r="U8" s="46" t="s">
        <v>487</v>
      </c>
      <c r="V8" s="46" t="s">
        <v>488</v>
      </c>
      <c r="W8" s="46" t="s">
        <v>489</v>
      </c>
      <c r="X8" s="46" t="s">
        <v>490</v>
      </c>
      <c r="Y8" s="46" t="s">
        <v>491</v>
      </c>
      <c r="Z8" s="46" t="s">
        <v>492</v>
      </c>
      <c r="AA8" s="46" t="s">
        <v>492</v>
      </c>
      <c r="AB8" s="46"/>
    </row>
    <row r="9" spans="1:28" s="48" customFormat="1" ht="48" x14ac:dyDescent="0.2">
      <c r="A9" s="46"/>
      <c r="B9" s="46"/>
      <c r="C9" s="46" t="s">
        <v>494</v>
      </c>
      <c r="D9" s="46"/>
      <c r="E9" s="46"/>
      <c r="F9" s="46">
        <v>1</v>
      </c>
      <c r="G9" s="46" t="s">
        <v>46</v>
      </c>
      <c r="H9" s="47" t="s">
        <v>307</v>
      </c>
      <c r="I9" s="47" t="s">
        <v>360</v>
      </c>
      <c r="J9" s="47">
        <f>B9</f>
        <v>0</v>
      </c>
      <c r="K9" s="47" t="s">
        <v>46</v>
      </c>
      <c r="L9" s="47"/>
      <c r="M9" s="47" t="s">
        <v>316</v>
      </c>
      <c r="N9" s="46">
        <v>1</v>
      </c>
      <c r="O9" s="46" t="s">
        <v>495</v>
      </c>
      <c r="P9" s="46" t="s">
        <v>309</v>
      </c>
      <c r="Q9" s="46" t="s">
        <v>375</v>
      </c>
      <c r="R9" s="46"/>
      <c r="S9" s="46" t="s">
        <v>295</v>
      </c>
      <c r="T9" s="46" t="s">
        <v>486</v>
      </c>
      <c r="U9" s="46" t="s">
        <v>487</v>
      </c>
      <c r="V9" s="46" t="s">
        <v>488</v>
      </c>
      <c r="W9" s="46" t="s">
        <v>489</v>
      </c>
      <c r="X9" s="46" t="s">
        <v>490</v>
      </c>
      <c r="Y9" s="46" t="s">
        <v>491</v>
      </c>
      <c r="Z9" s="46" t="s">
        <v>492</v>
      </c>
      <c r="AA9" s="46" t="s">
        <v>492</v>
      </c>
      <c r="AB9" s="46"/>
    </row>
    <row r="10" spans="1:28" s="48" customFormat="1" ht="48" x14ac:dyDescent="0.2">
      <c r="A10" s="46"/>
      <c r="B10" s="46"/>
      <c r="C10" s="46" t="s">
        <v>496</v>
      </c>
      <c r="D10" s="46"/>
      <c r="E10" s="46"/>
      <c r="F10" s="46">
        <v>1</v>
      </c>
      <c r="G10" s="46" t="s">
        <v>46</v>
      </c>
      <c r="H10" s="47" t="s">
        <v>307</v>
      </c>
      <c r="I10" s="47" t="s">
        <v>360</v>
      </c>
      <c r="J10" s="47">
        <f>B10</f>
        <v>0</v>
      </c>
      <c r="K10" s="47" t="s">
        <v>46</v>
      </c>
      <c r="L10" s="47" t="s">
        <v>484</v>
      </c>
      <c r="M10" s="47" t="s">
        <v>316</v>
      </c>
      <c r="N10" s="46">
        <v>1</v>
      </c>
      <c r="O10" s="46" t="s">
        <v>495</v>
      </c>
      <c r="P10" s="46" t="s">
        <v>293</v>
      </c>
      <c r="Q10" s="46" t="s">
        <v>375</v>
      </c>
      <c r="R10" s="46">
        <v>2</v>
      </c>
      <c r="S10" s="46"/>
      <c r="T10" s="46" t="s">
        <v>486</v>
      </c>
      <c r="U10" s="46" t="s">
        <v>487</v>
      </c>
      <c r="V10" s="46" t="s">
        <v>488</v>
      </c>
      <c r="W10" s="46" t="s">
        <v>489</v>
      </c>
      <c r="X10" s="46" t="s">
        <v>490</v>
      </c>
      <c r="Y10" s="46" t="s">
        <v>491</v>
      </c>
      <c r="Z10" s="46" t="s">
        <v>492</v>
      </c>
      <c r="AA10" s="46" t="s">
        <v>492</v>
      </c>
      <c r="AB10" s="46"/>
    </row>
    <row r="11" spans="1:28" s="48" customFormat="1" ht="48" x14ac:dyDescent="0.2">
      <c r="A11" s="46"/>
      <c r="B11" s="46"/>
      <c r="C11" s="46" t="s">
        <v>497</v>
      </c>
      <c r="D11" s="46"/>
      <c r="E11" s="46"/>
      <c r="F11" s="46">
        <v>1</v>
      </c>
      <c r="G11" s="46" t="s">
        <v>46</v>
      </c>
      <c r="H11" s="47" t="s">
        <v>307</v>
      </c>
      <c r="I11" s="47" t="s">
        <v>360</v>
      </c>
      <c r="J11" s="47">
        <f>B11</f>
        <v>0</v>
      </c>
      <c r="K11" s="47" t="s">
        <v>46</v>
      </c>
      <c r="L11" s="47" t="s">
        <v>484</v>
      </c>
      <c r="M11" s="47" t="s">
        <v>316</v>
      </c>
      <c r="N11" s="46">
        <v>1</v>
      </c>
      <c r="O11" s="46" t="s">
        <v>495</v>
      </c>
      <c r="P11" s="46" t="s">
        <v>293</v>
      </c>
      <c r="Q11" s="46" t="s">
        <v>375</v>
      </c>
      <c r="R11" s="46"/>
      <c r="S11" s="46" t="s">
        <v>295</v>
      </c>
      <c r="T11" s="46" t="s">
        <v>486</v>
      </c>
      <c r="U11" s="46" t="s">
        <v>487</v>
      </c>
      <c r="V11" s="46" t="s">
        <v>488</v>
      </c>
      <c r="W11" s="46" t="s">
        <v>489</v>
      </c>
      <c r="X11" s="46" t="s">
        <v>490</v>
      </c>
      <c r="Y11" s="46" t="s">
        <v>491</v>
      </c>
      <c r="Z11" s="46" t="s">
        <v>492</v>
      </c>
      <c r="AA11" s="46" t="s">
        <v>492</v>
      </c>
      <c r="AB11" s="46"/>
    </row>
    <row r="15" spans="1:28" x14ac:dyDescent="0.2">
      <c r="E15"/>
    </row>
  </sheetData>
  <mergeCells count="28">
    <mergeCell ref="Y3:Y5"/>
    <mergeCell ref="Z3:Z5"/>
    <mergeCell ref="AA3:AA5"/>
    <mergeCell ref="O4:O5"/>
    <mergeCell ref="P4:P5"/>
    <mergeCell ref="Q4:S4"/>
    <mergeCell ref="T4:V4"/>
    <mergeCell ref="F1:F5"/>
    <mergeCell ref="G1:AA1"/>
    <mergeCell ref="AB1:AB5"/>
    <mergeCell ref="G2:G5"/>
    <mergeCell ref="H2:H5"/>
    <mergeCell ref="I2:I5"/>
    <mergeCell ref="J2:J5"/>
    <mergeCell ref="K2:K5"/>
    <mergeCell ref="L2:L5"/>
    <mergeCell ref="M2:M5"/>
    <mergeCell ref="N2:O2"/>
    <mergeCell ref="P2:Z2"/>
    <mergeCell ref="N3:N5"/>
    <mergeCell ref="P3:V3"/>
    <mergeCell ref="W3:W5"/>
    <mergeCell ref="X3:X5"/>
    <mergeCell ref="A1:A5"/>
    <mergeCell ref="B1:B5"/>
    <mergeCell ref="C1:C5"/>
    <mergeCell ref="D1:D5"/>
    <mergeCell ref="E1:E5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Roman,obyčejné"&amp;12&amp;A</oddHeader>
    <oddFooter>&amp;C&amp;"Times New Roman,obyčejné"&amp;12Stránka &amp;P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operator="equal" allowBlank="1" showErrorMessage="1" xr:uid="{00000000-0002-0000-0400-000000000000}">
          <x14:formula1>
            <xm:f>'enumeration-values'!$M$2:$M$10</xm:f>
          </x14:formula1>
          <x14:formula2>
            <xm:f>0</xm:f>
          </x14:formula2>
          <xm:sqref>H7:H11</xm:sqref>
        </x14:dataValidation>
        <x14:dataValidation type="list" operator="equal" allowBlank="1" showErrorMessage="1" xr:uid="{00000000-0002-0000-0400-000001000000}">
          <x14:formula1>
            <xm:f>'enumeration-values'!$N$2:$N$10</xm:f>
          </x14:formula1>
          <x14:formula2>
            <xm:f>0</xm:f>
          </x14:formula2>
          <xm:sqref>I7:I11</xm:sqref>
        </x14:dataValidation>
        <x14:dataValidation type="list" operator="equal" allowBlank="1" showErrorMessage="1" xr:uid="{00000000-0002-0000-0400-000002000000}">
          <x14:formula1>
            <xm:f>'enumeration-values'!$L$2:$L$4</xm:f>
          </x14:formula1>
          <x14:formula2>
            <xm:f>0</xm:f>
          </x14:formula2>
          <xm:sqref>G7:G11 K7:K11</xm:sqref>
        </x14:dataValidation>
        <x14:dataValidation type="list" operator="equal" allowBlank="1" showErrorMessage="1" xr:uid="{00000000-0002-0000-0400-000003000000}">
          <x14:formula1>
            <xm:f>'enumeration-values'!$Q$2:$Q$5</xm:f>
          </x14:formula1>
          <x14:formula2>
            <xm:f>0</xm:f>
          </x14:formula2>
          <xm:sqref>P7:P11</xm:sqref>
        </x14:dataValidation>
        <x14:dataValidation type="list" operator="equal" allowBlank="1" showErrorMessage="1" xr:uid="{00000000-0002-0000-0400-000004000000}">
          <x14:formula1>
            <xm:f>'enumeration-values'!$R$2:$R$20</xm:f>
          </x14:formula1>
          <x14:formula2>
            <xm:f>0</xm:f>
          </x14:formula2>
          <xm:sqref>Q7:Q11</xm:sqref>
        </x14:dataValidation>
        <x14:dataValidation type="list" operator="equal" allowBlank="1" showErrorMessage="1" xr:uid="{00000000-0002-0000-0400-000005000000}">
          <x14:formula1>
            <xm:f>'enumeration-values'!$S$2:$S$29</xm:f>
          </x14:formula1>
          <x14:formula2>
            <xm:f>0</xm:f>
          </x14:formula2>
          <xm:sqref>S7:S11</xm:sqref>
        </x14:dataValidation>
        <x14:dataValidation operator="equal" allowBlank="1" showErrorMessage="1" xr:uid="{00000000-0002-0000-0400-000006000000}">
          <x14:formula1>
            <xm:f>'enumeration-values'!$N$2:$N$10</xm:f>
          </x14:formula1>
          <x14:formula2>
            <xm:f>0</xm:f>
          </x14:formula2>
          <xm:sqref>J7:J11</xm:sqref>
        </x14:dataValidation>
        <x14:dataValidation operator="equal" allowBlank="1" showErrorMessage="1" xr:uid="{00000000-0002-0000-0400-000008000000}">
          <x14:formula1>
            <xm:f>'enumeration-values'!$L$2:$L$4</xm:f>
          </x14:formula1>
          <x14:formula2>
            <xm:f>0</xm:f>
          </x14:formula2>
          <xm:sqref>L7:L11</xm:sqref>
        </x14:dataValidation>
        <x14:dataValidation type="list" operator="equal" allowBlank="1" showErrorMessage="1" xr:uid="{00000000-0002-0000-0400-000009000000}">
          <x14:formula1>
            <xm:f>'enumeration-values'!$P$2:$P$9</xm:f>
          </x14:formula1>
          <x14:formula2>
            <xm:f>0</xm:f>
          </x14:formula2>
          <xm:sqref>M7:M11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5"/>
  <sheetViews>
    <sheetView topLeftCell="A8" zoomScale="140" zoomScaleNormal="140" workbookViewId="0">
      <selection activeCell="J7" sqref="J7"/>
    </sheetView>
  </sheetViews>
  <sheetFormatPr defaultColWidth="11.5703125" defaultRowHeight="12.75" x14ac:dyDescent="0.2"/>
  <cols>
    <col min="1" max="1" width="6" customWidth="1"/>
    <col min="3" max="3" width="20" customWidth="1"/>
    <col min="4" max="4" width="10" customWidth="1"/>
    <col min="5" max="5" width="24.5703125" customWidth="1"/>
  </cols>
  <sheetData>
    <row r="1" spans="1:5" ht="18.2" customHeight="1" x14ac:dyDescent="0.2">
      <c r="A1" s="61" t="s">
        <v>498</v>
      </c>
      <c r="B1" s="61"/>
      <c r="C1" s="61"/>
      <c r="D1" s="61"/>
      <c r="E1" s="61"/>
    </row>
    <row r="2" spans="1:5" ht="27.75" customHeight="1" x14ac:dyDescent="0.2">
      <c r="A2" s="49" t="s">
        <v>29</v>
      </c>
      <c r="B2" s="50" t="s">
        <v>499</v>
      </c>
      <c r="C2" s="51" t="s">
        <v>500</v>
      </c>
      <c r="D2" s="51" t="s">
        <v>501</v>
      </c>
      <c r="E2" s="51" t="s">
        <v>502</v>
      </c>
    </row>
    <row r="3" spans="1:5" ht="27.75" customHeight="1" x14ac:dyDescent="0.2">
      <c r="A3" s="31">
        <v>1</v>
      </c>
      <c r="B3" s="31"/>
      <c r="C3" s="52" t="s">
        <v>503</v>
      </c>
      <c r="D3" s="52" t="s">
        <v>503</v>
      </c>
      <c r="E3" s="53" t="s">
        <v>504</v>
      </c>
    </row>
    <row r="4" spans="1:5" ht="27.75" customHeight="1" x14ac:dyDescent="0.2">
      <c r="A4" s="31">
        <v>2</v>
      </c>
      <c r="B4" s="31"/>
      <c r="C4" s="52" t="s">
        <v>505</v>
      </c>
      <c r="D4" s="52" t="s">
        <v>506</v>
      </c>
      <c r="E4" s="54" t="s">
        <v>507</v>
      </c>
    </row>
    <row r="5" spans="1:5" ht="27.75" customHeight="1" x14ac:dyDescent="0.2">
      <c r="A5" s="31">
        <v>3</v>
      </c>
      <c r="B5" s="31"/>
      <c r="C5" s="52" t="s">
        <v>508</v>
      </c>
      <c r="D5" s="52" t="s">
        <v>508</v>
      </c>
      <c r="E5" s="53" t="s">
        <v>504</v>
      </c>
    </row>
    <row r="6" spans="1:5" ht="27.75" customHeight="1" x14ac:dyDescent="0.2">
      <c r="A6" s="31">
        <v>4</v>
      </c>
      <c r="B6" s="31"/>
      <c r="C6" s="54" t="s">
        <v>509</v>
      </c>
      <c r="D6" s="54" t="s">
        <v>509</v>
      </c>
      <c r="E6" s="53" t="s">
        <v>504</v>
      </c>
    </row>
    <row r="7" spans="1:5" ht="27.75" customHeight="1" x14ac:dyDescent="0.2">
      <c r="A7" s="31">
        <v>5</v>
      </c>
      <c r="B7" s="31"/>
      <c r="C7" s="54" t="s">
        <v>510</v>
      </c>
      <c r="D7" s="54" t="s">
        <v>511</v>
      </c>
      <c r="E7" s="54" t="s">
        <v>512</v>
      </c>
    </row>
    <row r="8" spans="1:5" ht="27.75" customHeight="1" x14ac:dyDescent="0.2">
      <c r="A8" s="31">
        <v>6</v>
      </c>
      <c r="B8" s="31"/>
      <c r="C8" s="54" t="s">
        <v>513</v>
      </c>
      <c r="D8" s="54" t="s">
        <v>514</v>
      </c>
      <c r="E8" s="53" t="s">
        <v>504</v>
      </c>
    </row>
    <row r="9" spans="1:5" ht="27.75" customHeight="1" x14ac:dyDescent="0.2">
      <c r="A9" s="31">
        <v>7</v>
      </c>
      <c r="B9" s="31"/>
      <c r="C9" s="54" t="s">
        <v>515</v>
      </c>
      <c r="D9" s="54" t="s">
        <v>516</v>
      </c>
      <c r="E9" s="54" t="s">
        <v>517</v>
      </c>
    </row>
    <row r="10" spans="1:5" ht="27.75" customHeight="1" x14ac:dyDescent="0.2">
      <c r="A10" s="31">
        <v>8</v>
      </c>
      <c r="B10" s="31"/>
      <c r="C10" s="54" t="s">
        <v>518</v>
      </c>
      <c r="D10" s="54" t="s">
        <v>519</v>
      </c>
      <c r="E10" s="52" t="s">
        <v>520</v>
      </c>
    </row>
    <row r="11" spans="1:5" ht="27.75" customHeight="1" x14ac:dyDescent="0.2">
      <c r="A11" s="31">
        <v>9</v>
      </c>
      <c r="B11" s="31"/>
      <c r="C11" s="54" t="s">
        <v>521</v>
      </c>
      <c r="D11" s="54" t="s">
        <v>521</v>
      </c>
      <c r="E11" s="54" t="s">
        <v>522</v>
      </c>
    </row>
    <row r="12" spans="1:5" ht="27.75" customHeight="1" x14ac:dyDescent="0.2">
      <c r="A12" s="31">
        <v>10</v>
      </c>
      <c r="B12" s="31"/>
      <c r="C12" s="54" t="s">
        <v>523</v>
      </c>
      <c r="D12" s="54" t="s">
        <v>523</v>
      </c>
      <c r="E12" s="54" t="s">
        <v>524</v>
      </c>
    </row>
    <row r="13" spans="1:5" ht="27.75" customHeight="1" x14ac:dyDescent="0.2">
      <c r="A13" s="31">
        <v>11</v>
      </c>
      <c r="B13" s="31"/>
      <c r="C13" s="54" t="s">
        <v>525</v>
      </c>
      <c r="D13" s="54" t="s">
        <v>525</v>
      </c>
      <c r="E13" s="54" t="s">
        <v>526</v>
      </c>
    </row>
    <row r="14" spans="1:5" ht="27.75" customHeight="1" x14ac:dyDescent="0.2">
      <c r="A14" s="31">
        <v>12</v>
      </c>
      <c r="B14" s="31"/>
      <c r="C14" s="54" t="s">
        <v>527</v>
      </c>
      <c r="D14" s="54" t="s">
        <v>527</v>
      </c>
      <c r="E14" s="54" t="s">
        <v>528</v>
      </c>
    </row>
    <row r="15" spans="1:5" ht="25.5" customHeight="1" x14ac:dyDescent="0.2">
      <c r="A15" s="31">
        <v>13</v>
      </c>
      <c r="B15" s="31"/>
      <c r="C15" s="54" t="s">
        <v>529</v>
      </c>
      <c r="D15" s="54" t="s">
        <v>529</v>
      </c>
      <c r="E15" s="54" t="s">
        <v>530</v>
      </c>
    </row>
  </sheetData>
  <mergeCells count="1">
    <mergeCell ref="A1:E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Roman,obyčejné"&amp;12&amp;A</oddHeader>
    <oddFooter>&amp;C&amp;"Times New Roman,obyčejné"&amp;12Stránka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2524</TotalTime>
  <Application>Microsoft Excel</Application>
  <DocSecurity>0</DocSecurity>
  <ScaleCrop>false</ScaleCrop>
  <HeadingPairs>
    <vt:vector size="4" baseType="variant">
      <vt:variant>
        <vt:lpstr>Listy</vt:lpstr>
      </vt:variant>
      <vt:variant>
        <vt:i4>6</vt:i4>
      </vt:variant>
      <vt:variant>
        <vt:lpstr>Pojmenované oblasti</vt:lpstr>
      </vt:variant>
      <vt:variant>
        <vt:i4>2</vt:i4>
      </vt:variant>
    </vt:vector>
  </HeadingPairs>
  <TitlesOfParts>
    <vt:vector size="8" baseType="lpstr">
      <vt:lpstr>Info_about</vt:lpstr>
      <vt:lpstr>cz-pictogram-code-list-v1.1</vt:lpstr>
      <vt:lpstr>cz-phrase-code-list-v1.0</vt:lpstr>
      <vt:lpstr>enumeration-values</vt:lpstr>
      <vt:lpstr>StaticInfoMapping-examples</vt:lpstr>
      <vt:lpstr>PIT_TextSymbolMapping</vt:lpstr>
      <vt:lpstr>Info_about!_mg4l8nmz14wf</vt:lpstr>
      <vt:lpstr>'cz-pictogram-code-list-v1.1'!Oblast_tisku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Petr Bureš (CZ/TTR)</cp:lastModifiedBy>
  <cp:revision>77</cp:revision>
  <dcterms:created xsi:type="dcterms:W3CDTF">2021-12-27T23:38:01Z</dcterms:created>
  <dcterms:modified xsi:type="dcterms:W3CDTF">2025-09-28T14:18:24Z</dcterms:modified>
  <dc:language>cs-CZ</dc:language>
</cp:coreProperties>
</file>